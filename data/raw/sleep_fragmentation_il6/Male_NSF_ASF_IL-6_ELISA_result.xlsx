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2\Dr. Ashley_LAB DATA\2022-ASF_NSF_Male_MS\Dryad\"/>
    </mc:Choice>
  </mc:AlternateContent>
  <xr:revisionPtr revIDLastSave="0" documentId="13_ncr:1_{9AF6FCB5-42A7-416A-9515-95FA18BBFB82}" xr6:coauthVersionLast="47" xr6:coauthVersionMax="47" xr10:uidLastSave="{00000000-0000-0000-0000-000000000000}"/>
  <bookViews>
    <workbookView xWindow="-120" yWindow="-120" windowWidth="29040" windowHeight="17640" activeTab="2" xr2:uid="{875F0182-5B1A-4103-853E-99DCA688E410}"/>
  </bookViews>
  <sheets>
    <sheet name="IL-6 Raw and SD" sheetId="2" r:id="rId1"/>
    <sheet name="IL-6 Analyzed and graph" sheetId="4" r:id="rId2"/>
    <sheet name="IL-6 Intra and inter assa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5" l="1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G157" i="5" s="1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G95" i="5" s="1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G73" i="5" s="1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G14" i="5" s="1"/>
  <c r="F13" i="5"/>
  <c r="G13" i="5" s="1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G54" i="5" l="1"/>
  <c r="G64" i="5"/>
  <c r="G104" i="5"/>
  <c r="G114" i="5"/>
  <c r="G124" i="5"/>
  <c r="G154" i="5"/>
  <c r="G184" i="5"/>
  <c r="G15" i="5"/>
  <c r="G46" i="5"/>
  <c r="G165" i="5"/>
  <c r="G175" i="5"/>
  <c r="G5" i="5"/>
  <c r="G35" i="5"/>
  <c r="G26" i="5"/>
  <c r="G20" i="5"/>
  <c r="G40" i="5"/>
  <c r="G50" i="5"/>
  <c r="G60" i="5"/>
  <c r="G70" i="5"/>
  <c r="G90" i="5"/>
  <c r="G100" i="5"/>
  <c r="G120" i="5"/>
  <c r="S33" i="5"/>
  <c r="G125" i="5"/>
  <c r="G36" i="5"/>
  <c r="G21" i="5"/>
  <c r="G31" i="5"/>
  <c r="G41" i="5"/>
  <c r="G81" i="5"/>
  <c r="G111" i="5"/>
  <c r="G121" i="5"/>
  <c r="G131" i="5"/>
  <c r="G141" i="5"/>
  <c r="S20" i="5"/>
  <c r="G66" i="5"/>
  <c r="G19" i="5"/>
  <c r="G89" i="5"/>
  <c r="G2" i="5"/>
  <c r="G32" i="5"/>
  <c r="G62" i="5"/>
  <c r="G82" i="5"/>
  <c r="G92" i="5"/>
  <c r="G102" i="5"/>
  <c r="G112" i="5"/>
  <c r="G132" i="5"/>
  <c r="G105" i="5"/>
  <c r="S18" i="5"/>
  <c r="G53" i="5"/>
  <c r="S15" i="5"/>
  <c r="G7" i="5"/>
  <c r="S29" i="5"/>
  <c r="G126" i="5"/>
  <c r="G107" i="5"/>
  <c r="G8" i="5"/>
  <c r="G18" i="5"/>
  <c r="S16" i="5"/>
  <c r="G156" i="5"/>
  <c r="G177" i="5"/>
  <c r="G78" i="5"/>
  <c r="G88" i="5"/>
  <c r="G98" i="5"/>
  <c r="G108" i="5"/>
  <c r="G128" i="5"/>
  <c r="G158" i="5"/>
  <c r="G168" i="5"/>
  <c r="G178" i="5"/>
  <c r="G166" i="5"/>
  <c r="G117" i="5"/>
  <c r="G59" i="5"/>
  <c r="G69" i="5"/>
  <c r="S17" i="5"/>
  <c r="G187" i="5"/>
  <c r="G99" i="5"/>
  <c r="G109" i="5"/>
  <c r="G119" i="5"/>
  <c r="G129" i="5"/>
  <c r="G179" i="5"/>
  <c r="G86" i="5"/>
  <c r="G147" i="5"/>
  <c r="G137" i="5"/>
  <c r="G130" i="5"/>
  <c r="G150" i="5"/>
  <c r="G170" i="5"/>
  <c r="G176" i="5"/>
  <c r="G51" i="5"/>
  <c r="G106" i="5"/>
  <c r="G142" i="5"/>
  <c r="G152" i="5"/>
  <c r="G162" i="5"/>
  <c r="G182" i="5"/>
  <c r="G192" i="5"/>
  <c r="G77" i="5"/>
  <c r="G23" i="5"/>
  <c r="G33" i="5"/>
  <c r="G63" i="5"/>
  <c r="G27" i="5"/>
  <c r="G97" i="5"/>
  <c r="G83" i="5"/>
  <c r="G93" i="5"/>
  <c r="G103" i="5"/>
  <c r="G113" i="5"/>
  <c r="G133" i="5"/>
  <c r="G153" i="5"/>
  <c r="G163" i="5"/>
  <c r="G173" i="5"/>
  <c r="G183" i="5"/>
  <c r="G193" i="5"/>
  <c r="S21" i="5"/>
  <c r="G96" i="5"/>
  <c r="G4" i="5"/>
  <c r="G34" i="5"/>
  <c r="S22" i="5"/>
  <c r="G146" i="5"/>
  <c r="G136" i="5"/>
  <c r="S30" i="5"/>
  <c r="S28" i="5"/>
  <c r="S32" i="5"/>
  <c r="S34" i="5"/>
  <c r="S27" i="5"/>
  <c r="S35" i="5"/>
  <c r="S36" i="5"/>
  <c r="S31" i="5"/>
  <c r="S19" i="5"/>
  <c r="S13" i="5"/>
  <c r="S14" i="5"/>
  <c r="G186" i="5"/>
  <c r="G188" i="5"/>
  <c r="G189" i="5"/>
  <c r="G190" i="5"/>
  <c r="G191" i="5"/>
  <c r="G180" i="5"/>
  <c r="G181" i="5"/>
  <c r="G185" i="5"/>
  <c r="G171" i="5"/>
  <c r="G172" i="5"/>
  <c r="G174" i="5"/>
  <c r="G167" i="5"/>
  <c r="G169" i="5"/>
  <c r="G164" i="5"/>
  <c r="G159" i="5"/>
  <c r="G160" i="5"/>
  <c r="G161" i="5"/>
  <c r="G155" i="5"/>
  <c r="G149" i="5"/>
  <c r="G151" i="5"/>
  <c r="G148" i="5"/>
  <c r="G139" i="5"/>
  <c r="G140" i="5"/>
  <c r="G143" i="5"/>
  <c r="G144" i="5"/>
  <c r="G145" i="5"/>
  <c r="G138" i="5"/>
  <c r="G134" i="5"/>
  <c r="G135" i="5"/>
  <c r="G122" i="5"/>
  <c r="G123" i="5"/>
  <c r="G127" i="5"/>
  <c r="G115" i="5"/>
  <c r="G116" i="5"/>
  <c r="G118" i="5"/>
  <c r="G110" i="5"/>
  <c r="G101" i="5"/>
  <c r="G94" i="5"/>
  <c r="G91" i="5"/>
  <c r="G84" i="5"/>
  <c r="G85" i="5"/>
  <c r="G87" i="5"/>
  <c r="G74" i="5"/>
  <c r="G75" i="5"/>
  <c r="G76" i="5"/>
  <c r="G79" i="5"/>
  <c r="G80" i="5"/>
  <c r="G67" i="5"/>
  <c r="G68" i="5"/>
  <c r="G71" i="5"/>
  <c r="G72" i="5"/>
  <c r="G65" i="5"/>
  <c r="G58" i="5"/>
  <c r="G61" i="5"/>
  <c r="G55" i="5"/>
  <c r="G57" i="5"/>
  <c r="G56" i="5"/>
  <c r="G52" i="5"/>
  <c r="G44" i="5"/>
  <c r="G45" i="5"/>
  <c r="G47" i="5"/>
  <c r="G48" i="5"/>
  <c r="G49" i="5"/>
  <c r="G42" i="5"/>
  <c r="G43" i="5"/>
  <c r="G37" i="5"/>
  <c r="G38" i="5"/>
  <c r="G39" i="5"/>
  <c r="G28" i="5"/>
  <c r="G29" i="5"/>
  <c r="G30" i="5"/>
  <c r="G25" i="5"/>
  <c r="G22" i="5"/>
  <c r="G24" i="5"/>
  <c r="G12" i="5"/>
  <c r="G16" i="5"/>
  <c r="G17" i="5"/>
  <c r="G10" i="5"/>
  <c r="G11" i="5"/>
  <c r="G6" i="5"/>
  <c r="G9" i="5"/>
  <c r="G3" i="5"/>
  <c r="L45" i="4"/>
  <c r="L56" i="4" s="1"/>
  <c r="J48" i="4"/>
  <c r="T46" i="4"/>
  <c r="T48" i="4" s="1"/>
  <c r="S46" i="4"/>
  <c r="S48" i="4" s="1"/>
  <c r="R46" i="4"/>
  <c r="R48" i="4" s="1"/>
  <c r="Q46" i="4"/>
  <c r="Q48" i="4" s="1"/>
  <c r="P46" i="4"/>
  <c r="P48" i="4" s="1"/>
  <c r="O46" i="4"/>
  <c r="O48" i="4" s="1"/>
  <c r="M46" i="4"/>
  <c r="M48" i="4" s="1"/>
  <c r="K46" i="4"/>
  <c r="K48" i="4" s="1"/>
  <c r="J46" i="4"/>
  <c r="I46" i="4"/>
  <c r="I48" i="4" s="1"/>
  <c r="H46" i="4"/>
  <c r="H48" i="4" s="1"/>
  <c r="T45" i="4"/>
  <c r="M57" i="4" s="1"/>
  <c r="S45" i="4"/>
  <c r="M56" i="4" s="1"/>
  <c r="R45" i="4"/>
  <c r="M55" i="4" s="1"/>
  <c r="Q45" i="4"/>
  <c r="M54" i="4" s="1"/>
  <c r="P45" i="4"/>
  <c r="M53" i="4" s="1"/>
  <c r="O45" i="4"/>
  <c r="M52" i="4" s="1"/>
  <c r="M45" i="4"/>
  <c r="L57" i="4" s="1"/>
  <c r="K45" i="4"/>
  <c r="L55" i="4" s="1"/>
  <c r="J45" i="4"/>
  <c r="L54" i="4" s="1"/>
  <c r="I45" i="4"/>
  <c r="L53" i="4" s="1"/>
  <c r="H45" i="4"/>
  <c r="L52" i="4" s="1"/>
  <c r="J17" i="4"/>
  <c r="J105" i="2"/>
  <c r="L105" i="2" s="1"/>
  <c r="C105" i="2"/>
  <c r="E105" i="2" s="1"/>
  <c r="J104" i="2"/>
  <c r="L104" i="2" s="1"/>
  <c r="C104" i="2"/>
  <c r="E104" i="2" s="1"/>
  <c r="J103" i="2"/>
  <c r="L103" i="2" s="1"/>
  <c r="C103" i="2"/>
  <c r="E103" i="2" s="1"/>
  <c r="J102" i="2"/>
  <c r="L102" i="2" s="1"/>
  <c r="C102" i="2"/>
  <c r="E102" i="2" s="1"/>
  <c r="J101" i="2"/>
  <c r="L101" i="2" s="1"/>
  <c r="C101" i="2"/>
  <c r="E101" i="2" s="1"/>
  <c r="J100" i="2"/>
  <c r="L100" i="2" s="1"/>
  <c r="C100" i="2"/>
  <c r="E100" i="2" s="1"/>
  <c r="J99" i="2"/>
  <c r="L99" i="2" s="1"/>
  <c r="C99" i="2"/>
  <c r="E99" i="2" s="1"/>
  <c r="J98" i="2"/>
  <c r="L98" i="2" s="1"/>
  <c r="C98" i="2"/>
  <c r="E98" i="2" s="1"/>
  <c r="J97" i="2"/>
  <c r="L97" i="2" s="1"/>
  <c r="C97" i="2"/>
  <c r="E97" i="2" s="1"/>
  <c r="J96" i="2"/>
  <c r="L96" i="2" s="1"/>
  <c r="C96" i="2"/>
  <c r="E96" i="2" s="1"/>
  <c r="P78" i="2"/>
  <c r="R78" i="2" s="1"/>
  <c r="J78" i="2"/>
  <c r="L78" i="2" s="1"/>
  <c r="C78" i="2"/>
  <c r="E78" i="2" s="1"/>
  <c r="P77" i="2"/>
  <c r="R77" i="2" s="1"/>
  <c r="J77" i="2"/>
  <c r="L77" i="2" s="1"/>
  <c r="C77" i="2"/>
  <c r="E77" i="2" s="1"/>
  <c r="P76" i="2"/>
  <c r="R76" i="2" s="1"/>
  <c r="J76" i="2"/>
  <c r="L76" i="2" s="1"/>
  <c r="C76" i="2"/>
  <c r="E76" i="2" s="1"/>
  <c r="P75" i="2"/>
  <c r="R75" i="2" s="1"/>
  <c r="J75" i="2"/>
  <c r="L75" i="2" s="1"/>
  <c r="C75" i="2"/>
  <c r="E75" i="2" s="1"/>
  <c r="P74" i="2"/>
  <c r="R74" i="2" s="1"/>
  <c r="J74" i="2"/>
  <c r="L74" i="2" s="1"/>
  <c r="C74" i="2"/>
  <c r="E74" i="2" s="1"/>
  <c r="P73" i="2"/>
  <c r="R73" i="2" s="1"/>
  <c r="J73" i="2"/>
  <c r="L73" i="2" s="1"/>
  <c r="C73" i="2"/>
  <c r="E73" i="2" s="1"/>
  <c r="P72" i="2"/>
  <c r="R72" i="2" s="1"/>
  <c r="J72" i="2"/>
  <c r="L72" i="2" s="1"/>
  <c r="C72" i="2"/>
  <c r="E72" i="2" s="1"/>
  <c r="P71" i="2"/>
  <c r="R71" i="2" s="1"/>
  <c r="J71" i="2"/>
  <c r="L71" i="2" s="1"/>
  <c r="C71" i="2"/>
  <c r="E71" i="2" s="1"/>
  <c r="P70" i="2"/>
  <c r="R70" i="2" s="1"/>
  <c r="J70" i="2"/>
  <c r="L70" i="2" s="1"/>
  <c r="C70" i="2"/>
  <c r="E70" i="2" s="1"/>
  <c r="P69" i="2"/>
  <c r="R69" i="2" s="1"/>
  <c r="J69" i="2"/>
  <c r="L69" i="2" s="1"/>
  <c r="C69" i="2"/>
  <c r="E69" i="2" s="1"/>
  <c r="P47" i="2"/>
  <c r="J47" i="2"/>
  <c r="C47" i="2"/>
  <c r="P46" i="2"/>
  <c r="J46" i="2"/>
  <c r="C46" i="2"/>
  <c r="P45" i="2"/>
  <c r="J45" i="2"/>
  <c r="C45" i="2"/>
  <c r="P44" i="2"/>
  <c r="J44" i="2"/>
  <c r="C44" i="2"/>
  <c r="P43" i="2"/>
  <c r="J43" i="2"/>
  <c r="C43" i="2"/>
  <c r="P42" i="2"/>
  <c r="J42" i="2"/>
  <c r="C42" i="2"/>
  <c r="P41" i="2"/>
  <c r="J41" i="2"/>
  <c r="C41" i="2"/>
  <c r="P40" i="2"/>
  <c r="J40" i="2"/>
  <c r="C40" i="2"/>
  <c r="P39" i="2"/>
  <c r="J39" i="2"/>
  <c r="C39" i="2"/>
  <c r="P38" i="2"/>
  <c r="J38" i="2"/>
  <c r="C38" i="2"/>
  <c r="I20" i="4"/>
  <c r="I23" i="4"/>
  <c r="T17" i="4"/>
  <c r="S17" i="4"/>
  <c r="R17" i="4"/>
  <c r="Q17" i="4"/>
  <c r="Q23" i="4" s="1"/>
  <c r="P17" i="4"/>
  <c r="P20" i="4" s="1"/>
  <c r="O17" i="4"/>
  <c r="M17" i="4"/>
  <c r="L17" i="4"/>
  <c r="K17" i="4"/>
  <c r="I17" i="4"/>
  <c r="H17" i="4"/>
  <c r="T16" i="4"/>
  <c r="S16" i="4"/>
  <c r="R16" i="4"/>
  <c r="Q16" i="4"/>
  <c r="P16" i="4"/>
  <c r="O16" i="4"/>
  <c r="M16" i="4"/>
  <c r="L16" i="4"/>
  <c r="K16" i="4"/>
  <c r="K21" i="4" s="1"/>
  <c r="I16" i="4"/>
  <c r="I21" i="4" s="1"/>
  <c r="H16" i="4"/>
  <c r="H20" i="4" s="1"/>
  <c r="Q55" i="4" l="1"/>
  <c r="O19" i="4"/>
  <c r="G198" i="5"/>
  <c r="P6" i="5" s="1"/>
  <c r="Q52" i="4"/>
  <c r="Q53" i="4"/>
  <c r="Q54" i="4"/>
  <c r="H19" i="4"/>
  <c r="H27" i="4"/>
  <c r="H26" i="4"/>
  <c r="O20" i="4"/>
  <c r="I28" i="4"/>
  <c r="P21" i="4"/>
  <c r="I27" i="4"/>
  <c r="Q20" i="4"/>
  <c r="I26" i="4"/>
  <c r="I24" i="4"/>
  <c r="S23" i="5"/>
  <c r="L80" i="2"/>
  <c r="S37" i="5"/>
  <c r="Q57" i="4"/>
  <c r="L46" i="4"/>
  <c r="L48" i="4" s="1"/>
  <c r="Q56" i="4"/>
  <c r="S21" i="4"/>
  <c r="T23" i="4"/>
  <c r="T20" i="4"/>
  <c r="M23" i="4"/>
  <c r="M27" i="4"/>
  <c r="M28" i="4"/>
  <c r="M20" i="4"/>
  <c r="M21" i="4"/>
  <c r="S20" i="4"/>
  <c r="L26" i="4"/>
  <c r="R21" i="4"/>
  <c r="Q19" i="4"/>
  <c r="Q27" i="4"/>
  <c r="J16" i="4"/>
  <c r="J22" i="4" s="1"/>
  <c r="T19" i="4"/>
  <c r="H28" i="4"/>
  <c r="L28" i="4"/>
  <c r="O28" i="4"/>
  <c r="Q28" i="4"/>
  <c r="T28" i="4"/>
  <c r="L27" i="4"/>
  <c r="O27" i="4"/>
  <c r="T27" i="4"/>
  <c r="O26" i="4"/>
  <c r="T26" i="4"/>
  <c r="Q26" i="4"/>
  <c r="H25" i="4"/>
  <c r="L25" i="4"/>
  <c r="O25" i="4"/>
  <c r="Q25" i="4"/>
  <c r="T25" i="4"/>
  <c r="H24" i="4"/>
  <c r="L24" i="4"/>
  <c r="O24" i="4"/>
  <c r="Q24" i="4"/>
  <c r="T24" i="4"/>
  <c r="O23" i="4"/>
  <c r="L19" i="4"/>
  <c r="L23" i="4"/>
  <c r="H22" i="4"/>
  <c r="L22" i="4"/>
  <c r="O22" i="4"/>
  <c r="Q22" i="4"/>
  <c r="T22" i="4"/>
  <c r="H23" i="4"/>
  <c r="H21" i="4"/>
  <c r="L21" i="4"/>
  <c r="O21" i="4"/>
  <c r="Q21" i="4"/>
  <c r="T21" i="4"/>
  <c r="L20" i="4"/>
  <c r="I19" i="4"/>
  <c r="K19" i="4"/>
  <c r="M19" i="4"/>
  <c r="P19" i="4"/>
  <c r="S19" i="4"/>
  <c r="K20" i="4"/>
  <c r="P28" i="4"/>
  <c r="S28" i="4"/>
  <c r="K27" i="4"/>
  <c r="P27" i="4"/>
  <c r="S27" i="4"/>
  <c r="M26" i="4"/>
  <c r="P26" i="4"/>
  <c r="S26" i="4"/>
  <c r="K26" i="4"/>
  <c r="I25" i="4"/>
  <c r="K25" i="4"/>
  <c r="M25" i="4"/>
  <c r="P25" i="4"/>
  <c r="S25" i="4"/>
  <c r="K24" i="4"/>
  <c r="M24" i="4"/>
  <c r="P24" i="4"/>
  <c r="S24" i="4"/>
  <c r="K28" i="4"/>
  <c r="P23" i="4"/>
  <c r="S23" i="4"/>
  <c r="I22" i="4"/>
  <c r="K22" i="4"/>
  <c r="M22" i="4"/>
  <c r="P22" i="4"/>
  <c r="S22" i="4"/>
  <c r="K23" i="4"/>
  <c r="E107" i="2"/>
  <c r="L107" i="2"/>
  <c r="R80" i="2"/>
  <c r="E80" i="2"/>
  <c r="R19" i="4"/>
  <c r="R28" i="4"/>
  <c r="R20" i="4"/>
  <c r="R27" i="4"/>
  <c r="R26" i="4"/>
  <c r="R25" i="4"/>
  <c r="R24" i="4"/>
  <c r="R22" i="4"/>
  <c r="R23" i="4"/>
  <c r="J21" i="4" l="1"/>
  <c r="P8" i="5"/>
  <c r="J20" i="4"/>
  <c r="J23" i="4"/>
  <c r="J27" i="4"/>
  <c r="J19" i="4"/>
  <c r="J28" i="4"/>
  <c r="J25" i="4"/>
  <c r="J26" i="4"/>
  <c r="J24" i="4"/>
  <c r="S65" i="2" l="1"/>
  <c r="V59" i="2" s="1"/>
  <c r="S92" i="2"/>
  <c r="S85" i="2"/>
  <c r="S91" i="2"/>
  <c r="S90" i="2"/>
  <c r="S89" i="2"/>
  <c r="S88" i="2"/>
  <c r="S87" i="2"/>
  <c r="S86" i="2"/>
  <c r="S64" i="2"/>
  <c r="S63" i="2"/>
  <c r="S62" i="2"/>
  <c r="S61" i="2"/>
  <c r="S60" i="2"/>
  <c r="S59" i="2"/>
  <c r="S58" i="2"/>
  <c r="V32" i="2"/>
  <c r="V33" i="2"/>
  <c r="V34" i="2"/>
  <c r="S29" i="2"/>
  <c r="V29" i="2" s="1"/>
  <c r="S28" i="2"/>
  <c r="S27" i="2"/>
  <c r="V27" i="2" s="1"/>
  <c r="S34" i="2"/>
  <c r="S33" i="2"/>
  <c r="S32" i="2"/>
  <c r="S31" i="2"/>
  <c r="V31" i="2" s="1"/>
  <c r="S30" i="2"/>
  <c r="V30" i="2" s="1"/>
  <c r="P17" i="2"/>
  <c r="P18" i="2"/>
  <c r="P19" i="2"/>
  <c r="P20" i="2"/>
  <c r="P21" i="2"/>
  <c r="P16" i="2"/>
  <c r="P13" i="2"/>
  <c r="P14" i="2"/>
  <c r="P15" i="2"/>
  <c r="P12" i="2"/>
  <c r="S9" i="2"/>
  <c r="K12" i="2" s="1"/>
  <c r="L12" i="2" s="1"/>
  <c r="J19" i="2"/>
  <c r="J20" i="2"/>
  <c r="J21" i="2"/>
  <c r="J18" i="2"/>
  <c r="J13" i="2"/>
  <c r="J14" i="2"/>
  <c r="J15" i="2"/>
  <c r="J16" i="2"/>
  <c r="J17" i="2"/>
  <c r="J12" i="2"/>
  <c r="C21" i="2"/>
  <c r="C20" i="2"/>
  <c r="C13" i="2"/>
  <c r="C14" i="2"/>
  <c r="C15" i="2"/>
  <c r="C16" i="2"/>
  <c r="C17" i="2"/>
  <c r="C18" i="2"/>
  <c r="C19" i="2"/>
  <c r="C12" i="2"/>
  <c r="D12" i="2" s="1"/>
  <c r="P9" i="2"/>
  <c r="S3" i="2"/>
  <c r="S4" i="2"/>
  <c r="S5" i="2"/>
  <c r="S6" i="2"/>
  <c r="S7" i="2"/>
  <c r="S8" i="2"/>
  <c r="S2" i="2"/>
  <c r="Q18" i="2" l="1"/>
  <c r="R18" i="2" s="1"/>
  <c r="D20" i="2"/>
  <c r="D21" i="2"/>
  <c r="E21" i="2" s="1"/>
  <c r="V28" i="2"/>
  <c r="V60" i="2"/>
  <c r="Q17" i="2"/>
  <c r="R17" i="2" s="1"/>
  <c r="K16" i="2"/>
  <c r="L16" i="2" s="1"/>
  <c r="K17" i="2"/>
  <c r="L17" i="2" s="1"/>
  <c r="K19" i="2"/>
  <c r="L19" i="2" s="1"/>
  <c r="D19" i="2"/>
  <c r="D17" i="2"/>
  <c r="D16" i="2"/>
  <c r="D15" i="2"/>
  <c r="D18" i="2"/>
  <c r="Q13" i="2"/>
  <c r="R13" i="2" s="1"/>
  <c r="Q12" i="2"/>
  <c r="R12" i="2" s="1"/>
  <c r="K13" i="2"/>
  <c r="L13" i="2" s="1"/>
  <c r="Q14" i="2"/>
  <c r="R14" i="2" s="1"/>
  <c r="D14" i="2"/>
  <c r="K14" i="2"/>
  <c r="L14" i="2" s="1"/>
  <c r="K15" i="2"/>
  <c r="L15" i="2" s="1"/>
  <c r="Q16" i="2"/>
  <c r="R16" i="2" s="1"/>
  <c r="D13" i="2"/>
  <c r="E13" i="2" s="1"/>
  <c r="Q15" i="2"/>
  <c r="R15" i="2" s="1"/>
  <c r="K21" i="2"/>
  <c r="L21" i="2" s="1"/>
  <c r="K20" i="2"/>
  <c r="L20" i="2" s="1"/>
  <c r="Q21" i="2"/>
  <c r="R21" i="2" s="1"/>
  <c r="Q20" i="2"/>
  <c r="R20" i="2" s="1"/>
  <c r="K18" i="2"/>
  <c r="L18" i="2" s="1"/>
  <c r="Q19" i="2"/>
  <c r="R19" i="2" s="1"/>
  <c r="D46" i="2"/>
  <c r="E46" i="2" s="1"/>
  <c r="K47" i="2"/>
  <c r="L47" i="2" s="1"/>
  <c r="Q42" i="2"/>
  <c r="R42" i="2" s="1"/>
  <c r="K41" i="2"/>
  <c r="L41" i="2" s="1"/>
  <c r="D43" i="2"/>
  <c r="E43" i="2" s="1"/>
  <c r="K46" i="2"/>
  <c r="L46" i="2" s="1"/>
  <c r="Q40" i="2"/>
  <c r="R40" i="2" s="1"/>
  <c r="Q46" i="2"/>
  <c r="R46" i="2" s="1"/>
  <c r="K39" i="2"/>
  <c r="L39" i="2" s="1"/>
  <c r="Q41" i="2"/>
  <c r="R41" i="2" s="1"/>
  <c r="K42" i="2"/>
  <c r="L42" i="2" s="1"/>
  <c r="D42" i="2"/>
  <c r="E42" i="2" s="1"/>
  <c r="K43" i="2"/>
  <c r="L43" i="2" s="1"/>
  <c r="D47" i="2"/>
  <c r="E47" i="2" s="1"/>
  <c r="Q43" i="2"/>
  <c r="R43" i="2" s="1"/>
  <c r="D45" i="2"/>
  <c r="E45" i="2" s="1"/>
  <c r="K44" i="2"/>
  <c r="L44" i="2" s="1"/>
  <c r="Q47" i="2"/>
  <c r="R47" i="2" s="1"/>
  <c r="K38" i="2"/>
  <c r="L38" i="2" s="1"/>
  <c r="D44" i="2"/>
  <c r="E44" i="2" s="1"/>
  <c r="K40" i="2"/>
  <c r="L40" i="2" s="1"/>
  <c r="D38" i="2"/>
  <c r="E38" i="2" s="1"/>
  <c r="Q45" i="2"/>
  <c r="R45" i="2" s="1"/>
  <c r="D41" i="2"/>
  <c r="E41" i="2" s="1"/>
  <c r="K45" i="2"/>
  <c r="L45" i="2" s="1"/>
  <c r="Q38" i="2"/>
  <c r="R38" i="2" s="1"/>
  <c r="Q39" i="2"/>
  <c r="R39" i="2" s="1"/>
  <c r="D40" i="2"/>
  <c r="E40" i="2" s="1"/>
  <c r="Q44" i="2"/>
  <c r="R44" i="2" s="1"/>
  <c r="D39" i="2"/>
  <c r="E39" i="2" s="1"/>
  <c r="V64" i="2"/>
  <c r="V63" i="2"/>
  <c r="V58" i="2"/>
  <c r="V65" i="2"/>
  <c r="V62" i="2"/>
  <c r="V61" i="2"/>
  <c r="V92" i="2"/>
  <c r="V91" i="2"/>
  <c r="V90" i="2"/>
  <c r="V86" i="2"/>
  <c r="V88" i="2"/>
  <c r="V87" i="2"/>
  <c r="V89" i="2"/>
  <c r="V85" i="2"/>
  <c r="E16" i="2"/>
  <c r="E15" i="2"/>
  <c r="E12" i="2"/>
  <c r="V9" i="2"/>
  <c r="V2" i="2"/>
  <c r="V8" i="2"/>
  <c r="V7" i="2"/>
  <c r="V6" i="2"/>
  <c r="V5" i="2"/>
  <c r="V4" i="2"/>
  <c r="V3" i="2"/>
  <c r="E20" i="2"/>
  <c r="L23" i="2" l="1"/>
  <c r="E49" i="2"/>
  <c r="L49" i="2"/>
  <c r="E23" i="2"/>
  <c r="R49" i="2"/>
  <c r="R23" i="2"/>
</calcChain>
</file>

<file path=xl/sharedStrings.xml><?xml version="1.0" encoding="utf-8"?>
<sst xmlns="http://schemas.openxmlformats.org/spreadsheetml/2006/main" count="1045" uniqueCount="317">
  <si>
    <t>A</t>
  </si>
  <si>
    <t>B</t>
  </si>
  <si>
    <t>C</t>
  </si>
  <si>
    <t>D</t>
  </si>
  <si>
    <t>E</t>
  </si>
  <si>
    <t>F</t>
  </si>
  <si>
    <t>G</t>
  </si>
  <si>
    <t>H</t>
  </si>
  <si>
    <t>S500</t>
  </si>
  <si>
    <t>S250</t>
  </si>
  <si>
    <t>S125</t>
  </si>
  <si>
    <t>S62.5</t>
  </si>
  <si>
    <t>S31.3</t>
  </si>
  <si>
    <t>S15.6</t>
  </si>
  <si>
    <t>S7.8</t>
  </si>
  <si>
    <t>S0</t>
  </si>
  <si>
    <t>average</t>
  </si>
  <si>
    <t>OD</t>
  </si>
  <si>
    <t>Conc.</t>
  </si>
  <si>
    <t>SD error</t>
  </si>
  <si>
    <t>*</t>
  </si>
  <si>
    <t>Table Analyzed</t>
  </si>
  <si>
    <t>Data 1</t>
  </si>
  <si>
    <t>P value</t>
  </si>
  <si>
    <t>P value summary</t>
  </si>
  <si>
    <t>Yes</t>
  </si>
  <si>
    <t>Sample</t>
  </si>
  <si>
    <t>OD-Blank</t>
  </si>
  <si>
    <t>Concentration</t>
  </si>
  <si>
    <t>M_NSF0h-1</t>
  </si>
  <si>
    <t>M_NSF0h-2</t>
  </si>
  <si>
    <t>M_NSF0h-3</t>
  </si>
  <si>
    <t>M_NSF0h-4</t>
  </si>
  <si>
    <t>M_NSF0h-5</t>
  </si>
  <si>
    <t>M_NSF0h-6</t>
  </si>
  <si>
    <t>M_NSF0h-7</t>
  </si>
  <si>
    <t>M_NSF0h-8</t>
  </si>
  <si>
    <t>M_NSF0h-9</t>
  </si>
  <si>
    <t>M_NSF0h-10</t>
  </si>
  <si>
    <t>M_NSF1h-1</t>
  </si>
  <si>
    <t>M_NSF1h-2</t>
  </si>
  <si>
    <t>M_NSF1h-3</t>
  </si>
  <si>
    <t>M_NSF1h-4</t>
  </si>
  <si>
    <t>M_NSF1h-5</t>
  </si>
  <si>
    <t>M_NSF1h-6</t>
  </si>
  <si>
    <t>M_NSF1h-7</t>
  </si>
  <si>
    <t>M_NSF1h-8</t>
  </si>
  <si>
    <t>M_NSF1h-9</t>
  </si>
  <si>
    <t>M_NSF1h-10</t>
  </si>
  <si>
    <t>SD sample</t>
  </si>
  <si>
    <t>M_ASF1h-1</t>
  </si>
  <si>
    <t>M_ASF1h-2</t>
  </si>
  <si>
    <t>M_ASF1h-3</t>
  </si>
  <si>
    <t>M_ASF1h-4</t>
  </si>
  <si>
    <t>M_ASF1h-5</t>
  </si>
  <si>
    <t>M_ASF1h-6</t>
  </si>
  <si>
    <t>M_ASF1h-7</t>
  </si>
  <si>
    <t>M_ASF1h-8</t>
  </si>
  <si>
    <t>M_ASF1h-9</t>
  </si>
  <si>
    <t>M_ASF1h-10</t>
  </si>
  <si>
    <t>M_NSF2h-1</t>
  </si>
  <si>
    <t>M_NSF2h-2</t>
  </si>
  <si>
    <t>M_NSF2h-3</t>
  </si>
  <si>
    <t>M_NSF2h-4</t>
  </si>
  <si>
    <t>M_NSF2h-5</t>
  </si>
  <si>
    <t>M_NSF2h-6</t>
  </si>
  <si>
    <t>M_NSF2h-7</t>
  </si>
  <si>
    <t>M_NSF2h-8</t>
  </si>
  <si>
    <t>M_NSF2h-9</t>
  </si>
  <si>
    <t>M_NSF2h-10</t>
  </si>
  <si>
    <t>M_ASF2h-1</t>
  </si>
  <si>
    <t>M_ASF2h-2</t>
  </si>
  <si>
    <t>M_ASF2h-3</t>
  </si>
  <si>
    <t>M_ASF2h-4</t>
  </si>
  <si>
    <t>M_ASF2h-5</t>
  </si>
  <si>
    <t>M_ASF2h-6</t>
  </si>
  <si>
    <t>M_ASF2h-7</t>
  </si>
  <si>
    <t>M_ASF2h-8</t>
  </si>
  <si>
    <t>M_ASF2h-9</t>
  </si>
  <si>
    <t>M_ASF2h-10</t>
  </si>
  <si>
    <t>M_NSF6h-1</t>
  </si>
  <si>
    <t>M_NSF6h-2</t>
  </si>
  <si>
    <t>M_NSF6h-3</t>
  </si>
  <si>
    <t>M_NSF6h-4</t>
  </si>
  <si>
    <t>M_NSF6h-5</t>
  </si>
  <si>
    <t>M_NSF6h-6</t>
  </si>
  <si>
    <t>M_NSF6h-7</t>
  </si>
  <si>
    <t>M_NSF6h-8</t>
  </si>
  <si>
    <t>M_NSF6h-9</t>
  </si>
  <si>
    <t>M_NSF6h-10</t>
  </si>
  <si>
    <t>M_ASF12h-1</t>
  </si>
  <si>
    <t>M_ASF12h-2</t>
  </si>
  <si>
    <t>M_ASF12h-3</t>
  </si>
  <si>
    <t>M_ASF12h-4</t>
  </si>
  <si>
    <t>M_ASF12h-5</t>
  </si>
  <si>
    <t>M_ASF12h-6</t>
  </si>
  <si>
    <t>M_ASF12h-7</t>
  </si>
  <si>
    <t>M_ASF12h-8</t>
  </si>
  <si>
    <t>M_ASF12h-9</t>
  </si>
  <si>
    <t>M_ASF12h-10</t>
  </si>
  <si>
    <t>M_ASF6h-1</t>
  </si>
  <si>
    <t>M_ASF6h-2</t>
  </si>
  <si>
    <t>M_ASF6h-3</t>
  </si>
  <si>
    <t>M_ASF6h-4</t>
  </si>
  <si>
    <t>M_ASF6h-5</t>
  </si>
  <si>
    <t>M_ASF6h-6</t>
  </si>
  <si>
    <t>M_ASF6h-7</t>
  </si>
  <si>
    <t>M_ASF6h-8</t>
  </si>
  <si>
    <t>M_ASF6h-9</t>
  </si>
  <si>
    <t>M_ASF6h-10</t>
  </si>
  <si>
    <t>M_NSF12h-1</t>
  </si>
  <si>
    <t>M_NSF12h-2</t>
  </si>
  <si>
    <t>M_NSF12h-3</t>
  </si>
  <si>
    <t>M_NSF12h-4</t>
  </si>
  <si>
    <t>M_NSF12h-5</t>
  </si>
  <si>
    <t>M_NSF12h-6</t>
  </si>
  <si>
    <t>M_NSF12h-7</t>
  </si>
  <si>
    <t>M_NSF12h-8</t>
  </si>
  <si>
    <t>M_NSF12h-9</t>
  </si>
  <si>
    <t>M_NSF12h-10</t>
  </si>
  <si>
    <t>M_NSF24h-1</t>
  </si>
  <si>
    <t>M_NSF24h-2</t>
  </si>
  <si>
    <t>M_NSF24h-3</t>
  </si>
  <si>
    <t>M_NSF24h-4</t>
  </si>
  <si>
    <t>M_NSF24h-5</t>
  </si>
  <si>
    <t>M_NSF24h-6</t>
  </si>
  <si>
    <t>M_NSF24h-7</t>
  </si>
  <si>
    <t>M_NSF24h-8</t>
  </si>
  <si>
    <t>M_NSF24h-9</t>
  </si>
  <si>
    <t>M_NSF24h-10</t>
  </si>
  <si>
    <t>M_ASF24h-1</t>
  </si>
  <si>
    <t>M_ASF24h-2</t>
  </si>
  <si>
    <t>M_ASF24h-3</t>
  </si>
  <si>
    <t>M_ASF24h-4</t>
  </si>
  <si>
    <t>M_ASF24h-5</t>
  </si>
  <si>
    <t>M_ASF24h-6</t>
  </si>
  <si>
    <t>M_ASF24h-7</t>
  </si>
  <si>
    <t>M_ASF24h-8</t>
  </si>
  <si>
    <t>M_ASF24h-9</t>
  </si>
  <si>
    <t>M_ASF24h-10</t>
  </si>
  <si>
    <t>NSF</t>
  </si>
  <si>
    <t>ASF</t>
  </si>
  <si>
    <t>AVARAGE</t>
  </si>
  <si>
    <t>STDEV</t>
  </si>
  <si>
    <t>Outliers</t>
  </si>
  <si>
    <t>Removed Outliers</t>
  </si>
  <si>
    <t>error bar</t>
  </si>
  <si>
    <t>Fold change</t>
  </si>
  <si>
    <t>Two-way ANOVA</t>
  </si>
  <si>
    <t>Ordinary</t>
  </si>
  <si>
    <t>Alpha</t>
  </si>
  <si>
    <t>Source of Variation</t>
  </si>
  <si>
    <t>% of total variation</t>
  </si>
  <si>
    <t>Significant?</t>
  </si>
  <si>
    <t>Interaction</t>
  </si>
  <si>
    <t>&lt;0.0001</t>
  </si>
  <si>
    <t>****</t>
  </si>
  <si>
    <t>Time course Factor</t>
  </si>
  <si>
    <t>Acute SF Factor</t>
  </si>
  <si>
    <t>ANOVA table</t>
  </si>
  <si>
    <t>SS (Type III)</t>
  </si>
  <si>
    <t>DF</t>
  </si>
  <si>
    <t>MS</t>
  </si>
  <si>
    <t>F (DFn, DFd)</t>
  </si>
  <si>
    <t>P&lt;0.0001</t>
  </si>
  <si>
    <t>Residual</t>
  </si>
  <si>
    <t>Difference between column means</t>
  </si>
  <si>
    <t>Predicted (LS) mean of NSF</t>
  </si>
  <si>
    <t>Predicted (LS) mean of ASF</t>
  </si>
  <si>
    <t>Difference between predicted means</t>
  </si>
  <si>
    <t>SE of difference</t>
  </si>
  <si>
    <t>95% CI of difference</t>
  </si>
  <si>
    <t>Data summary</t>
  </si>
  <si>
    <t>Number of columns (Acute SF Factor)</t>
  </si>
  <si>
    <t>Number of rows (Time course Factor)</t>
  </si>
  <si>
    <t>Number of values</t>
  </si>
  <si>
    <t>Compare each cell mean with the other cell mean in that row</t>
  </si>
  <si>
    <t>Number of families</t>
  </si>
  <si>
    <t>Number of comparisons per family</t>
  </si>
  <si>
    <t>Bonferroni's multiple comparisons test</t>
  </si>
  <si>
    <t>Predicted (LS) mean diff.</t>
  </si>
  <si>
    <t>95.00% CI of diff.</t>
  </si>
  <si>
    <t>Below threshold?</t>
  </si>
  <si>
    <t>Summary</t>
  </si>
  <si>
    <t>Adjusted P Value</t>
  </si>
  <si>
    <t>NSF - ASF</t>
  </si>
  <si>
    <t>1h</t>
  </si>
  <si>
    <t>No</t>
  </si>
  <si>
    <t>ns</t>
  </si>
  <si>
    <t>&gt;0.9999</t>
  </si>
  <si>
    <t>2h</t>
  </si>
  <si>
    <t>6h</t>
  </si>
  <si>
    <t>12h</t>
  </si>
  <si>
    <t>24h</t>
  </si>
  <si>
    <t>Test details</t>
  </si>
  <si>
    <t>Predicted (LS) mean 1</t>
  </si>
  <si>
    <t>Predicted (LS) mean 2</t>
  </si>
  <si>
    <t>SE of diff.</t>
  </si>
  <si>
    <t>N1</t>
  </si>
  <si>
    <t>N2</t>
  </si>
  <si>
    <t>t</t>
  </si>
  <si>
    <t>F (4, 88) = 14.27</t>
  </si>
  <si>
    <t>F (4, 88) = 13.73</t>
  </si>
  <si>
    <t>F (1, 88) = 73.19</t>
  </si>
  <si>
    <t>-11.44 to -7.128</t>
  </si>
  <si>
    <t>-6.439 to 6.883</t>
  </si>
  <si>
    <t>-11.89 to 0.7499</t>
  </si>
  <si>
    <t>-30.62 to -17.99</t>
  </si>
  <si>
    <t>-16.51 to -3.873</t>
  </si>
  <si>
    <t>***</t>
  </si>
  <si>
    <t>-12.90 to -0.2593</t>
  </si>
  <si>
    <t>Col: One-way ANOVA</t>
  </si>
  <si>
    <t>Data sets analyzed</t>
  </si>
  <si>
    <t>A-F</t>
  </si>
  <si>
    <t>ANOVA summary</t>
  </si>
  <si>
    <t>Significant diff. among means (P &lt; 0.05)?</t>
  </si>
  <si>
    <t>R squared</t>
  </si>
  <si>
    <t>Brown-Forsythe test</t>
  </si>
  <si>
    <t>3.975 (5, 53)</t>
  </si>
  <si>
    <t>**</t>
  </si>
  <si>
    <t>Are SDs significantly different (P &lt; 0.05)?</t>
  </si>
  <si>
    <t>Bartlett's test</t>
  </si>
  <si>
    <t>Bartlett's statistic (corrected)</t>
  </si>
  <si>
    <t>SS</t>
  </si>
  <si>
    <t>Treatment (between columns)</t>
  </si>
  <si>
    <t>F (5, 53) = 0.6383</t>
  </si>
  <si>
    <t>P=0.6714</t>
  </si>
  <si>
    <t>Residual (within columns)</t>
  </si>
  <si>
    <t>Total</t>
  </si>
  <si>
    <t>Number of treatments (columns)</t>
  </si>
  <si>
    <t>Number of values (total)</t>
  </si>
  <si>
    <t>One-way ANOVA</t>
  </si>
  <si>
    <t>3.308 (5, 53)</t>
  </si>
  <si>
    <t>F (5, 53) = 16.24</t>
  </si>
  <si>
    <t>Tukey's multiple comparisons test</t>
  </si>
  <si>
    <t>Mean Diff.</t>
  </si>
  <si>
    <t>0h vs. 1h</t>
  </si>
  <si>
    <t>-8.093 to 10.64</t>
  </si>
  <si>
    <t>A-B</t>
  </si>
  <si>
    <t>0h vs. 2h</t>
  </si>
  <si>
    <t>-13.82 to 4.412</t>
  </si>
  <si>
    <t>A-C</t>
  </si>
  <si>
    <t>0h vs. 6h</t>
  </si>
  <si>
    <t>-32.21 to -13.98</t>
  </si>
  <si>
    <t>A-D</t>
  </si>
  <si>
    <t>0h vs. 12h</t>
  </si>
  <si>
    <t>-19.39 to -1.158</t>
  </si>
  <si>
    <t>A-E</t>
  </si>
  <si>
    <t>0h vs. 24h</t>
  </si>
  <si>
    <t>-15.32 to 2.907</t>
  </si>
  <si>
    <t>1h vs. 2h</t>
  </si>
  <si>
    <t>-15.34 to 3.389</t>
  </si>
  <si>
    <t>B-C</t>
  </si>
  <si>
    <t>1h vs. 6h</t>
  </si>
  <si>
    <t>-33.74 to -15.01</t>
  </si>
  <si>
    <t>B-D</t>
  </si>
  <si>
    <t>1h vs. 12h</t>
  </si>
  <si>
    <t>-20.91 to -2.180</t>
  </si>
  <si>
    <t>B-E</t>
  </si>
  <si>
    <t>1h vs. 24h</t>
  </si>
  <si>
    <t>-16.85 to 1.884</t>
  </si>
  <si>
    <t>B-F</t>
  </si>
  <si>
    <t>2h vs. 6h</t>
  </si>
  <si>
    <t>-27.51 to -9.280</t>
  </si>
  <si>
    <t>C-D</t>
  </si>
  <si>
    <t>2h vs. 12h</t>
  </si>
  <si>
    <t>-14.68 to 3.546</t>
  </si>
  <si>
    <t>C-E</t>
  </si>
  <si>
    <t>2h vs. 24h</t>
  </si>
  <si>
    <t>-10.62 to 7.610</t>
  </si>
  <si>
    <t>C-F</t>
  </si>
  <si>
    <t>6h vs. 12h</t>
  </si>
  <si>
    <t>3.711 to 21.94</t>
  </si>
  <si>
    <t>D-E</t>
  </si>
  <si>
    <t>6h vs. 24h</t>
  </si>
  <si>
    <t>7.776 to 26.01</t>
  </si>
  <si>
    <t>D-F</t>
  </si>
  <si>
    <t>12h vs. 24h</t>
  </si>
  <si>
    <t>-5.050 to 13.18</t>
  </si>
  <si>
    <t>E-F</t>
  </si>
  <si>
    <t>Mean 1</t>
  </si>
  <si>
    <t>Mean 2</t>
  </si>
  <si>
    <t>n1</t>
  </si>
  <si>
    <t>n2</t>
  </si>
  <si>
    <t>q</t>
  </si>
  <si>
    <t>-1.883 to 3.983</t>
  </si>
  <si>
    <t>-1.988 to 3.720</t>
  </si>
  <si>
    <t>-1.648 to 4.061</t>
  </si>
  <si>
    <t>-2.935 to 2.774</t>
  </si>
  <si>
    <t>-2.484 to 3.225</t>
  </si>
  <si>
    <t>-3.117 to 2.749</t>
  </si>
  <si>
    <t>-2.776 to 3.089</t>
  </si>
  <si>
    <t>-4.063 to 1.802</t>
  </si>
  <si>
    <t>-3.612 to 2.253</t>
  </si>
  <si>
    <t>-2.514 to 3.195</t>
  </si>
  <si>
    <t>-3.801 to 1.908</t>
  </si>
  <si>
    <t>-3.350 to 2.359</t>
  </si>
  <si>
    <t>-4.141 to 1.567</t>
  </si>
  <si>
    <t>-3.690 to 2.019</t>
  </si>
  <si>
    <t>-2.403 to 3.306</t>
  </si>
  <si>
    <t>Sample ID</t>
  </si>
  <si>
    <t>Duplicate assay</t>
  </si>
  <si>
    <t>Average</t>
  </si>
  <si>
    <t>%CV</t>
  </si>
  <si>
    <t>Standard</t>
  </si>
  <si>
    <t>Blank</t>
  </si>
  <si>
    <t>Intraassay</t>
  </si>
  <si>
    <t>Inter-assay</t>
  </si>
  <si>
    <t>high</t>
  </si>
  <si>
    <t>Average CV</t>
  </si>
  <si>
    <t>low</t>
  </si>
  <si>
    <t>Plate</t>
  </si>
  <si>
    <t>Plate 1</t>
  </si>
  <si>
    <t>Plate 2</t>
  </si>
  <si>
    <t>Plate 3</t>
  </si>
  <si>
    <t>Plate 4</t>
  </si>
  <si>
    <t>Concentration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</si>
</sst>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5" fillId="0" borderId="0" xfId="0" applyFont="1" applyFill="1"/>
    <xf numFmtId="0" fontId="1" fillId="0" borderId="9" xfId="1" applyFont="1" applyFill="1" applyBorder="1" applyAlignment="1">
      <alignment horizontal="center" vertical="center" wrapText="1"/>
    </xf>
    <xf numFmtId="0" fontId="1" fillId="0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52672CAF-B4A3-49C1-9199-A01ABC6A8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B876-65E7-4635-88E4-02B0ED04C9D3}">
  <dimension ref="A1:V107"/>
  <sheetViews>
    <sheetView workbookViewId="0">
      <selection activeCell="G18" sqref="G18"/>
    </sheetView>
  </sheetViews>
  <sheetFormatPr defaultRowHeight="15" x14ac:dyDescent="0.25"/>
  <cols>
    <col min="1" max="1" width="9.140625" style="1" customWidth="1"/>
    <col min="2" max="2" width="13.5703125" style="1" customWidth="1"/>
    <col min="3" max="8" width="9.28515625" style="1" bestFit="1" customWidth="1"/>
    <col min="9" max="9" width="15" style="1" customWidth="1"/>
    <col min="10" max="11" width="9.28515625" style="1" bestFit="1" customWidth="1"/>
    <col min="12" max="12" width="11.7109375" style="1" bestFit="1" customWidth="1"/>
    <col min="13" max="14" width="9.28515625" style="1" bestFit="1" customWidth="1"/>
    <col min="15" max="15" width="17.42578125" style="1" customWidth="1"/>
    <col min="16" max="19" width="9.28515625" style="1" bestFit="1" customWidth="1"/>
    <col min="20" max="20" width="9.140625" style="1"/>
    <col min="21" max="22" width="9.28515625" style="1" bestFit="1" customWidth="1"/>
    <col min="23" max="16384" width="9.140625" style="1"/>
  </cols>
  <sheetData>
    <row r="1" spans="1:22" x14ac:dyDescent="0.25"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Q1" s="1" t="s">
        <v>49</v>
      </c>
      <c r="R1" s="1" t="s">
        <v>18</v>
      </c>
      <c r="S1" s="1" t="s">
        <v>17</v>
      </c>
    </row>
    <row r="2" spans="1:22" x14ac:dyDescent="0.25">
      <c r="B2" s="3" t="s">
        <v>0</v>
      </c>
      <c r="C2" s="3">
        <v>1.5469999999999999</v>
      </c>
      <c r="D2" s="3">
        <v>1.5629999999999999</v>
      </c>
      <c r="E2" s="3">
        <v>0.104</v>
      </c>
      <c r="F2" s="3">
        <v>0.12</v>
      </c>
      <c r="G2" s="3">
        <v>0.11700000000000001</v>
      </c>
      <c r="H2" s="3">
        <v>0.115</v>
      </c>
      <c r="I2" s="3">
        <v>8.3000000000000004E-2</v>
      </c>
      <c r="J2" s="3">
        <v>0.08</v>
      </c>
      <c r="K2" s="3">
        <v>7.5999999999999998E-2</v>
      </c>
      <c r="L2" s="3">
        <v>8.2000000000000003E-2</v>
      </c>
      <c r="M2" s="3">
        <v>4.1000000000000002E-2</v>
      </c>
      <c r="N2" s="3">
        <v>4.1000000000000002E-2</v>
      </c>
      <c r="Q2" s="1" t="s">
        <v>8</v>
      </c>
      <c r="R2" s="1">
        <v>500</v>
      </c>
      <c r="S2" s="1">
        <f t="shared" ref="S2:S8" si="0">AVERAGE(C2:D2)</f>
        <v>1.5549999999999999</v>
      </c>
      <c r="U2" s="1">
        <v>500</v>
      </c>
      <c r="V2" s="1">
        <f t="shared" ref="V2:V9" si="1">S2-$S$9</f>
        <v>1.4844999999999999</v>
      </c>
    </row>
    <row r="3" spans="1:22" x14ac:dyDescent="0.25">
      <c r="B3" s="3" t="s">
        <v>1</v>
      </c>
      <c r="C3" s="3">
        <v>0.88600000000000001</v>
      </c>
      <c r="D3" s="3">
        <v>0.92</v>
      </c>
      <c r="E3" s="3">
        <v>9.4E-2</v>
      </c>
      <c r="F3" s="3">
        <v>0.08</v>
      </c>
      <c r="G3" s="3">
        <v>8.8999999999999996E-2</v>
      </c>
      <c r="H3" s="3">
        <v>8.4000000000000005E-2</v>
      </c>
      <c r="I3" s="3">
        <v>8.4000000000000005E-2</v>
      </c>
      <c r="J3" s="3">
        <v>8.4000000000000005E-2</v>
      </c>
      <c r="K3" s="3">
        <v>0.08</v>
      </c>
      <c r="L3" s="3">
        <v>0.08</v>
      </c>
      <c r="M3" s="3">
        <v>0.04</v>
      </c>
      <c r="N3" s="3">
        <v>4.1000000000000002E-2</v>
      </c>
      <c r="Q3" s="1" t="s">
        <v>9</v>
      </c>
      <c r="R3" s="1">
        <v>250</v>
      </c>
      <c r="S3" s="1">
        <f t="shared" si="0"/>
        <v>0.90300000000000002</v>
      </c>
      <c r="U3" s="1">
        <v>250</v>
      </c>
      <c r="V3" s="1">
        <f t="shared" si="1"/>
        <v>0.83250000000000002</v>
      </c>
    </row>
    <row r="4" spans="1:22" x14ac:dyDescent="0.25">
      <c r="B4" s="3" t="s">
        <v>2</v>
      </c>
      <c r="C4" s="3">
        <v>0.52400000000000002</v>
      </c>
      <c r="D4" s="3">
        <v>0.53600000000000003</v>
      </c>
      <c r="E4" s="3">
        <v>8.2000000000000003E-2</v>
      </c>
      <c r="F4" s="3">
        <v>6.6000000000000003E-2</v>
      </c>
      <c r="G4" s="3">
        <v>0.112</v>
      </c>
      <c r="H4" s="3">
        <v>0.1</v>
      </c>
      <c r="I4" s="3">
        <v>7.8E-2</v>
      </c>
      <c r="J4" s="3">
        <v>7.8E-2</v>
      </c>
      <c r="K4" s="3">
        <v>8.2000000000000003E-2</v>
      </c>
      <c r="L4" s="3">
        <v>7.5999999999999998E-2</v>
      </c>
      <c r="M4" s="3">
        <v>0.04</v>
      </c>
      <c r="N4" s="3">
        <v>4.1000000000000002E-2</v>
      </c>
      <c r="Q4" s="1" t="s">
        <v>10</v>
      </c>
      <c r="R4" s="1">
        <v>125</v>
      </c>
      <c r="S4" s="1">
        <f t="shared" si="0"/>
        <v>0.53</v>
      </c>
      <c r="U4" s="1">
        <v>125</v>
      </c>
      <c r="V4" s="1">
        <f t="shared" si="1"/>
        <v>0.45950000000000002</v>
      </c>
    </row>
    <row r="5" spans="1:22" x14ac:dyDescent="0.25">
      <c r="A5" s="1" t="s">
        <v>312</v>
      </c>
      <c r="B5" s="3" t="s">
        <v>3</v>
      </c>
      <c r="C5" s="3">
        <v>0.3</v>
      </c>
      <c r="D5" s="3">
        <v>0.30099999999999999</v>
      </c>
      <c r="E5" s="3">
        <v>0.09</v>
      </c>
      <c r="F5" s="3">
        <v>0.09</v>
      </c>
      <c r="G5" s="3">
        <v>7.9000000000000001E-2</v>
      </c>
      <c r="H5" s="3">
        <v>7.8E-2</v>
      </c>
      <c r="I5" s="3">
        <v>8.7999999999999995E-2</v>
      </c>
      <c r="J5" s="3">
        <v>7.2999999999999995E-2</v>
      </c>
      <c r="K5" s="3">
        <v>0.109</v>
      </c>
      <c r="L5" s="3">
        <v>0.12</v>
      </c>
      <c r="M5" s="3">
        <v>0.04</v>
      </c>
      <c r="N5" s="3">
        <v>4.1000000000000002E-2</v>
      </c>
      <c r="Q5" s="1" t="s">
        <v>11</v>
      </c>
      <c r="R5" s="1">
        <v>62.5</v>
      </c>
      <c r="S5" s="1">
        <f t="shared" si="0"/>
        <v>0.30049999999999999</v>
      </c>
      <c r="U5" s="1">
        <v>62.5</v>
      </c>
      <c r="V5" s="1">
        <f t="shared" si="1"/>
        <v>0.22999999999999998</v>
      </c>
    </row>
    <row r="6" spans="1:22" x14ac:dyDescent="0.25">
      <c r="B6" s="3" t="s">
        <v>4</v>
      </c>
      <c r="C6" s="3">
        <v>0.192</v>
      </c>
      <c r="D6" s="3">
        <v>0.188</v>
      </c>
      <c r="E6" s="3">
        <v>8.1000000000000003E-2</v>
      </c>
      <c r="F6" s="3">
        <v>9.9000000000000005E-2</v>
      </c>
      <c r="G6" s="3">
        <v>7.6999999999999999E-2</v>
      </c>
      <c r="H6" s="3">
        <v>7.6999999999999999E-2</v>
      </c>
      <c r="I6" s="3">
        <v>6.9000000000000006E-2</v>
      </c>
      <c r="J6" s="3">
        <v>0.08</v>
      </c>
      <c r="K6" s="3">
        <v>0.10199999999999999</v>
      </c>
      <c r="L6" s="3">
        <v>9.7000000000000003E-2</v>
      </c>
      <c r="M6" s="3">
        <v>0.04</v>
      </c>
      <c r="N6" s="3">
        <v>0.04</v>
      </c>
      <c r="Q6" s="1" t="s">
        <v>12</v>
      </c>
      <c r="R6" s="1">
        <v>31.3</v>
      </c>
      <c r="S6" s="1">
        <f t="shared" si="0"/>
        <v>0.19</v>
      </c>
      <c r="U6" s="1">
        <v>31.3</v>
      </c>
      <c r="V6" s="1">
        <f t="shared" si="1"/>
        <v>0.1195</v>
      </c>
    </row>
    <row r="7" spans="1:22" x14ac:dyDescent="0.25">
      <c r="B7" s="3" t="s">
        <v>5</v>
      </c>
      <c r="C7" s="3">
        <v>0.13600000000000001</v>
      </c>
      <c r="D7" s="3">
        <v>0.129</v>
      </c>
      <c r="E7" s="3">
        <v>0.08</v>
      </c>
      <c r="F7" s="3">
        <v>7.8E-2</v>
      </c>
      <c r="G7" s="3">
        <v>8.2000000000000003E-2</v>
      </c>
      <c r="H7" s="3">
        <v>7.2999999999999995E-2</v>
      </c>
      <c r="I7" s="3">
        <v>0.08</v>
      </c>
      <c r="J7" s="3">
        <v>8.4000000000000005E-2</v>
      </c>
      <c r="K7" s="3">
        <v>7.5999999999999998E-2</v>
      </c>
      <c r="L7" s="3">
        <v>7.4999999999999997E-2</v>
      </c>
      <c r="M7" s="3">
        <v>0.04</v>
      </c>
      <c r="N7" s="3">
        <v>0.04</v>
      </c>
      <c r="Q7" s="1" t="s">
        <v>13</v>
      </c>
      <c r="R7" s="1">
        <v>15.6</v>
      </c>
      <c r="S7" s="1">
        <f t="shared" si="0"/>
        <v>0.13250000000000001</v>
      </c>
      <c r="U7" s="1">
        <v>15.6</v>
      </c>
      <c r="V7" s="1">
        <f t="shared" si="1"/>
        <v>6.2E-2</v>
      </c>
    </row>
    <row r="8" spans="1:22" x14ac:dyDescent="0.25">
      <c r="B8" s="3" t="s">
        <v>6</v>
      </c>
      <c r="C8" s="3">
        <v>0.108</v>
      </c>
      <c r="D8" s="3">
        <v>0.10199999999999999</v>
      </c>
      <c r="E8" s="3">
        <v>7.9000000000000001E-2</v>
      </c>
      <c r="F8" s="3">
        <v>7.5999999999999998E-2</v>
      </c>
      <c r="G8" s="3">
        <v>8.5999999999999993E-2</v>
      </c>
      <c r="H8" s="3">
        <v>9.1999999999999998E-2</v>
      </c>
      <c r="I8" s="3">
        <v>7.2999999999999995E-2</v>
      </c>
      <c r="J8" s="3">
        <v>8.3000000000000004E-2</v>
      </c>
      <c r="K8" s="3">
        <v>6.8000000000000005E-2</v>
      </c>
      <c r="L8" s="3">
        <v>7.0999999999999994E-2</v>
      </c>
      <c r="M8" s="3">
        <v>0.04</v>
      </c>
      <c r="N8" s="3">
        <v>4.2999999999999997E-2</v>
      </c>
      <c r="Q8" s="1" t="s">
        <v>14</v>
      </c>
      <c r="R8" s="1">
        <v>7.8</v>
      </c>
      <c r="S8" s="1">
        <f t="shared" si="0"/>
        <v>0.105</v>
      </c>
      <c r="U8" s="1">
        <v>7.8</v>
      </c>
      <c r="V8" s="1">
        <f t="shared" si="1"/>
        <v>3.4499999999999989E-2</v>
      </c>
    </row>
    <row r="9" spans="1:22" x14ac:dyDescent="0.25">
      <c r="B9" s="3" t="s">
        <v>7</v>
      </c>
      <c r="C9" s="3">
        <v>8.7999999999999995E-2</v>
      </c>
      <c r="D9" s="3">
        <v>8.1000000000000003E-2</v>
      </c>
      <c r="E9" s="3">
        <v>7.8E-2</v>
      </c>
      <c r="F9" s="3">
        <v>7.6999999999999999E-2</v>
      </c>
      <c r="G9" s="3">
        <v>8.3000000000000004E-2</v>
      </c>
      <c r="H9" s="3">
        <v>9.1999999999999998E-2</v>
      </c>
      <c r="I9" s="3">
        <v>8.1000000000000003E-2</v>
      </c>
      <c r="J9" s="3">
        <v>7.9000000000000001E-2</v>
      </c>
      <c r="K9" s="3">
        <v>6.8000000000000005E-2</v>
      </c>
      <c r="L9" s="3">
        <v>7.2999999999999995E-2</v>
      </c>
      <c r="M9" s="3">
        <v>4.1000000000000002E-2</v>
      </c>
      <c r="N9" s="3">
        <v>0.04</v>
      </c>
      <c r="P9" s="1">
        <f>AVERAGE(K9:L9)</f>
        <v>7.0500000000000007E-2</v>
      </c>
      <c r="Q9" s="1" t="s">
        <v>15</v>
      </c>
      <c r="R9" s="1">
        <v>0</v>
      </c>
      <c r="S9" s="1">
        <f>AVERAGE(K9:L9)</f>
        <v>7.0500000000000007E-2</v>
      </c>
      <c r="U9" s="1">
        <v>0</v>
      </c>
      <c r="V9" s="1">
        <f t="shared" si="1"/>
        <v>0</v>
      </c>
    </row>
    <row r="11" spans="1:22" x14ac:dyDescent="0.25">
      <c r="B11" s="4" t="s">
        <v>26</v>
      </c>
      <c r="C11" s="1" t="s">
        <v>17</v>
      </c>
      <c r="D11" s="1" t="s">
        <v>27</v>
      </c>
      <c r="E11" s="1" t="s">
        <v>28</v>
      </c>
      <c r="I11" s="4" t="s">
        <v>26</v>
      </c>
      <c r="J11" s="1" t="s">
        <v>17</v>
      </c>
      <c r="K11" s="1" t="s">
        <v>27</v>
      </c>
      <c r="L11" s="1" t="s">
        <v>28</v>
      </c>
      <c r="O11" s="4" t="s">
        <v>26</v>
      </c>
      <c r="P11" s="1" t="s">
        <v>17</v>
      </c>
      <c r="Q11" s="1" t="s">
        <v>27</v>
      </c>
      <c r="R11" s="1" t="s">
        <v>28</v>
      </c>
    </row>
    <row r="12" spans="1:22" x14ac:dyDescent="0.25">
      <c r="B12" s="4" t="s">
        <v>29</v>
      </c>
      <c r="C12" s="1">
        <f>AVERAGE(E2:F2)</f>
        <v>0.11199999999999999</v>
      </c>
      <c r="D12" s="1">
        <f>C12-$S$9</f>
        <v>4.1499999999999981E-2</v>
      </c>
      <c r="E12" s="1">
        <f>(D12-0.032)/0.003</f>
        <v>3.1666666666666603</v>
      </c>
      <c r="I12" s="4" t="s">
        <v>39</v>
      </c>
      <c r="J12" s="1">
        <f>AVERAGE(G4:H4)</f>
        <v>0.10600000000000001</v>
      </c>
      <c r="K12" s="1">
        <f t="shared" ref="K12:K21" si="2">J12-$S$9</f>
        <v>3.5500000000000004E-2</v>
      </c>
      <c r="L12" s="1">
        <f>(K12-0.0032)/0.003</f>
        <v>10.766666666666667</v>
      </c>
      <c r="O12" s="4" t="s">
        <v>50</v>
      </c>
      <c r="P12" s="1">
        <f>AVERAGE(I6:J6)</f>
        <v>7.4500000000000011E-2</v>
      </c>
      <c r="Q12" s="1">
        <f t="shared" ref="Q12:Q21" si="3">P12-$S$9</f>
        <v>4.0000000000000036E-3</v>
      </c>
      <c r="R12" s="1">
        <f>(Q12-0.0032)/0.003</f>
        <v>0.26666666666666777</v>
      </c>
    </row>
    <row r="13" spans="1:22" x14ac:dyDescent="0.25">
      <c r="B13" s="4" t="s">
        <v>30</v>
      </c>
      <c r="C13" s="1">
        <f t="shared" ref="C13:C19" si="4">AVERAGE(E3:F3)</f>
        <v>8.6999999999999994E-2</v>
      </c>
      <c r="D13" s="1">
        <f t="shared" ref="D13:D19" si="5">3*(C13-$S$9)</f>
        <v>4.9499999999999961E-2</v>
      </c>
      <c r="E13" s="1">
        <f t="shared" ref="E13:E20" si="6">(D13-0.032)/0.003</f>
        <v>5.8333333333333197</v>
      </c>
      <c r="I13" s="4" t="s">
        <v>40</v>
      </c>
      <c r="J13" s="1">
        <f t="shared" ref="J13:J17" si="7">AVERAGE(G5:H5)</f>
        <v>7.85E-2</v>
      </c>
      <c r="K13" s="1">
        <f t="shared" si="2"/>
        <v>7.9999999999999932E-3</v>
      </c>
      <c r="L13" s="1">
        <f t="shared" ref="L13:L21" si="8">(K13-0.0032)/0.003</f>
        <v>1.5999999999999979</v>
      </c>
      <c r="O13" s="4" t="s">
        <v>51</v>
      </c>
      <c r="P13" s="1">
        <f t="shared" ref="P13:P15" si="9">AVERAGE(I7:J7)</f>
        <v>8.2000000000000003E-2</v>
      </c>
      <c r="Q13" s="1">
        <f t="shared" si="3"/>
        <v>1.1499999999999996E-2</v>
      </c>
      <c r="R13" s="1">
        <f t="shared" ref="R13:R21" si="10">(Q13-0.0032)/0.003</f>
        <v>2.7666666666666653</v>
      </c>
    </row>
    <row r="14" spans="1:22" x14ac:dyDescent="0.25">
      <c r="B14" s="4" t="s">
        <v>31</v>
      </c>
      <c r="C14" s="1">
        <f t="shared" si="4"/>
        <v>7.400000000000001E-2</v>
      </c>
      <c r="D14" s="1">
        <f t="shared" si="5"/>
        <v>1.0500000000000009E-2</v>
      </c>
      <c r="E14" s="1">
        <v>0</v>
      </c>
      <c r="I14" s="4" t="s">
        <v>41</v>
      </c>
      <c r="J14" s="1">
        <f t="shared" si="7"/>
        <v>7.6999999999999999E-2</v>
      </c>
      <c r="K14" s="1">
        <f t="shared" si="2"/>
        <v>6.4999999999999919E-3</v>
      </c>
      <c r="L14" s="1">
        <f t="shared" si="8"/>
        <v>1.0999999999999972</v>
      </c>
      <c r="O14" s="4" t="s">
        <v>52</v>
      </c>
      <c r="P14" s="1">
        <f t="shared" si="9"/>
        <v>7.8E-2</v>
      </c>
      <c r="Q14" s="1">
        <f t="shared" si="3"/>
        <v>7.4999999999999928E-3</v>
      </c>
      <c r="R14" s="1">
        <f t="shared" si="10"/>
        <v>1.4333333333333309</v>
      </c>
    </row>
    <row r="15" spans="1:22" x14ac:dyDescent="0.25">
      <c r="B15" s="4" t="s">
        <v>32</v>
      </c>
      <c r="C15" s="1">
        <f t="shared" si="4"/>
        <v>0.09</v>
      </c>
      <c r="D15" s="1">
        <f t="shared" si="5"/>
        <v>5.8499999999999969E-2</v>
      </c>
      <c r="E15" s="1">
        <f t="shared" si="6"/>
        <v>8.8333333333333233</v>
      </c>
      <c r="I15" s="4" t="s">
        <v>42</v>
      </c>
      <c r="J15" s="1">
        <f t="shared" si="7"/>
        <v>7.7499999999999999E-2</v>
      </c>
      <c r="K15" s="1">
        <f t="shared" si="2"/>
        <v>6.9999999999999923E-3</v>
      </c>
      <c r="L15" s="1">
        <f t="shared" si="8"/>
        <v>1.2666666666666639</v>
      </c>
      <c r="O15" s="4" t="s">
        <v>53</v>
      </c>
      <c r="P15" s="1">
        <f t="shared" si="9"/>
        <v>0.08</v>
      </c>
      <c r="Q15" s="1">
        <f t="shared" si="3"/>
        <v>9.4999999999999946E-3</v>
      </c>
      <c r="R15" s="1">
        <f t="shared" si="10"/>
        <v>2.0999999999999983</v>
      </c>
    </row>
    <row r="16" spans="1:22" x14ac:dyDescent="0.25">
      <c r="B16" s="4" t="s">
        <v>33</v>
      </c>
      <c r="C16" s="1">
        <f t="shared" si="4"/>
        <v>0.09</v>
      </c>
      <c r="D16" s="1">
        <f t="shared" si="5"/>
        <v>5.8499999999999969E-2</v>
      </c>
      <c r="E16" s="1">
        <f t="shared" si="6"/>
        <v>8.8333333333333233</v>
      </c>
      <c r="I16" s="4" t="s">
        <v>43</v>
      </c>
      <c r="J16" s="1">
        <f t="shared" si="7"/>
        <v>8.8999999999999996E-2</v>
      </c>
      <c r="K16" s="1">
        <f t="shared" si="2"/>
        <v>1.8499999999999989E-2</v>
      </c>
      <c r="L16" s="1">
        <f t="shared" si="8"/>
        <v>5.0999999999999961</v>
      </c>
      <c r="O16" s="4" t="s">
        <v>54</v>
      </c>
      <c r="P16" s="1">
        <f>AVERAGE(K2:L2)</f>
        <v>7.9000000000000001E-2</v>
      </c>
      <c r="Q16" s="1">
        <f t="shared" si="3"/>
        <v>8.4999999999999937E-3</v>
      </c>
      <c r="R16" s="1">
        <f t="shared" si="10"/>
        <v>1.7666666666666646</v>
      </c>
    </row>
    <row r="17" spans="1:22" x14ac:dyDescent="0.25">
      <c r="B17" s="4" t="s">
        <v>34</v>
      </c>
      <c r="C17" s="1">
        <f t="shared" si="4"/>
        <v>7.9000000000000001E-2</v>
      </c>
      <c r="D17" s="1">
        <f t="shared" si="5"/>
        <v>2.5499999999999981E-2</v>
      </c>
      <c r="E17" s="1">
        <v>0</v>
      </c>
      <c r="I17" s="4" t="s">
        <v>44</v>
      </c>
      <c r="J17" s="1">
        <f t="shared" si="7"/>
        <v>8.7499999999999994E-2</v>
      </c>
      <c r="K17" s="1">
        <f t="shared" si="2"/>
        <v>1.6999999999999987E-2</v>
      </c>
      <c r="L17" s="1">
        <f t="shared" si="8"/>
        <v>4.5999999999999961</v>
      </c>
      <c r="O17" s="4" t="s">
        <v>55</v>
      </c>
      <c r="P17" s="1">
        <f t="shared" ref="P17:P21" si="11">AVERAGE(K3:L3)</f>
        <v>0.08</v>
      </c>
      <c r="Q17" s="1">
        <f t="shared" si="3"/>
        <v>9.4999999999999946E-3</v>
      </c>
      <c r="R17" s="1">
        <f t="shared" si="10"/>
        <v>2.0999999999999983</v>
      </c>
    </row>
    <row r="18" spans="1:22" x14ac:dyDescent="0.25">
      <c r="B18" s="4" t="s">
        <v>35</v>
      </c>
      <c r="C18" s="1">
        <f t="shared" si="4"/>
        <v>7.7499999999999999E-2</v>
      </c>
      <c r="D18" s="1">
        <f t="shared" si="5"/>
        <v>2.0999999999999977E-2</v>
      </c>
      <c r="E18" s="1">
        <v>0</v>
      </c>
      <c r="I18" s="4" t="s">
        <v>45</v>
      </c>
      <c r="J18" s="1">
        <f>AVERAGE(I2:J2)</f>
        <v>8.1500000000000003E-2</v>
      </c>
      <c r="K18" s="1">
        <f t="shared" si="2"/>
        <v>1.0999999999999996E-2</v>
      </c>
      <c r="L18" s="1">
        <f t="shared" si="8"/>
        <v>2.5999999999999988</v>
      </c>
      <c r="O18" s="4" t="s">
        <v>56</v>
      </c>
      <c r="P18" s="1">
        <f t="shared" si="11"/>
        <v>7.9000000000000001E-2</v>
      </c>
      <c r="Q18" s="1">
        <f t="shared" si="3"/>
        <v>8.4999999999999937E-3</v>
      </c>
      <c r="R18" s="1">
        <f t="shared" si="10"/>
        <v>1.7666666666666646</v>
      </c>
    </row>
    <row r="19" spans="1:22" x14ac:dyDescent="0.25">
      <c r="B19" s="4" t="s">
        <v>36</v>
      </c>
      <c r="C19" s="1">
        <f t="shared" si="4"/>
        <v>7.7499999999999999E-2</v>
      </c>
      <c r="D19" s="1">
        <f t="shared" si="5"/>
        <v>2.0999999999999977E-2</v>
      </c>
      <c r="E19" s="1">
        <v>0</v>
      </c>
      <c r="I19" s="4" t="s">
        <v>46</v>
      </c>
      <c r="J19" s="1">
        <f t="shared" ref="J19:J21" si="12">AVERAGE(I3:J3)</f>
        <v>8.4000000000000005E-2</v>
      </c>
      <c r="K19" s="1">
        <f t="shared" si="2"/>
        <v>1.3499999999999998E-2</v>
      </c>
      <c r="L19" s="1">
        <f t="shared" si="8"/>
        <v>3.4333333333333327</v>
      </c>
      <c r="O19" s="4" t="s">
        <v>57</v>
      </c>
      <c r="P19" s="1">
        <f t="shared" si="11"/>
        <v>0.11449999999999999</v>
      </c>
      <c r="Q19" s="1">
        <f t="shared" si="3"/>
        <v>4.3999999999999984E-2</v>
      </c>
      <c r="R19" s="1">
        <f t="shared" si="10"/>
        <v>13.599999999999994</v>
      </c>
    </row>
    <row r="20" spans="1:22" x14ac:dyDescent="0.25">
      <c r="B20" s="4" t="s">
        <v>37</v>
      </c>
      <c r="C20" s="1">
        <f>AVERAGE(G2:H2)</f>
        <v>0.11600000000000001</v>
      </c>
      <c r="D20" s="1">
        <f>C20-$S$9</f>
        <v>4.5499999999999999E-2</v>
      </c>
      <c r="E20" s="1">
        <f t="shared" si="6"/>
        <v>4.4999999999999991</v>
      </c>
      <c r="I20" s="4" t="s">
        <v>47</v>
      </c>
      <c r="J20" s="1">
        <f t="shared" si="12"/>
        <v>7.8E-2</v>
      </c>
      <c r="K20" s="1">
        <f t="shared" si="2"/>
        <v>7.4999999999999928E-3</v>
      </c>
      <c r="L20" s="1">
        <f t="shared" si="8"/>
        <v>1.4333333333333309</v>
      </c>
      <c r="O20" s="4" t="s">
        <v>58</v>
      </c>
      <c r="P20" s="1">
        <f t="shared" si="11"/>
        <v>9.9500000000000005E-2</v>
      </c>
      <c r="Q20" s="1">
        <f t="shared" si="3"/>
        <v>2.8999999999999998E-2</v>
      </c>
      <c r="R20" s="1">
        <f t="shared" si="10"/>
        <v>8.5999999999999979</v>
      </c>
    </row>
    <row r="21" spans="1:22" x14ac:dyDescent="0.25">
      <c r="B21" s="4" t="s">
        <v>38</v>
      </c>
      <c r="C21" s="1">
        <f>AVERAGE(G3:H3)</f>
        <v>8.6499999999999994E-2</v>
      </c>
      <c r="D21" s="1">
        <f>3*(C21-$S$9)</f>
        <v>4.7999999999999959E-2</v>
      </c>
      <c r="E21" s="1">
        <f>(D21-0.032)/0.003</f>
        <v>5.3333333333333197</v>
      </c>
      <c r="I21" s="4" t="s">
        <v>48</v>
      </c>
      <c r="J21" s="1">
        <f t="shared" si="12"/>
        <v>8.0499999999999988E-2</v>
      </c>
      <c r="K21" s="1">
        <f t="shared" si="2"/>
        <v>9.9999999999999811E-3</v>
      </c>
      <c r="L21" s="1">
        <f t="shared" si="8"/>
        <v>2.2666666666666604</v>
      </c>
      <c r="O21" s="4" t="s">
        <v>59</v>
      </c>
      <c r="P21" s="1">
        <f t="shared" si="11"/>
        <v>7.5499999999999998E-2</v>
      </c>
      <c r="Q21" s="1">
        <f t="shared" si="3"/>
        <v>4.9999999999999906E-3</v>
      </c>
      <c r="R21" s="1">
        <f t="shared" si="10"/>
        <v>0.59999999999999676</v>
      </c>
    </row>
    <row r="23" spans="1:22" x14ac:dyDescent="0.25">
      <c r="D23" s="1" t="s">
        <v>16</v>
      </c>
      <c r="E23" s="1">
        <f>AVERAGE(E12:E21)</f>
        <v>3.649999999999995</v>
      </c>
      <c r="K23" s="1" t="s">
        <v>16</v>
      </c>
      <c r="L23" s="1">
        <f>AVERAGE(L12:L21)</f>
        <v>3.4166666666666634</v>
      </c>
      <c r="Q23" s="1" t="s">
        <v>16</v>
      </c>
      <c r="R23" s="1">
        <f>AVERAGE(R12:R21)</f>
        <v>3.4999999999999973</v>
      </c>
    </row>
    <row r="26" spans="1:22" x14ac:dyDescent="0.25">
      <c r="Q26" s="1" t="s">
        <v>49</v>
      </c>
      <c r="R26" s="1" t="s">
        <v>18</v>
      </c>
      <c r="S26" s="1" t="s">
        <v>17</v>
      </c>
      <c r="U26" s="1" t="s">
        <v>18</v>
      </c>
      <c r="V26" s="1" t="s">
        <v>17</v>
      </c>
    </row>
    <row r="27" spans="1:22" x14ac:dyDescent="0.25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  <c r="Q27" s="1" t="s">
        <v>8</v>
      </c>
      <c r="R27" s="1">
        <v>500</v>
      </c>
      <c r="S27" s="1">
        <f>AVERAGE(C28:D28)</f>
        <v>2.1395</v>
      </c>
      <c r="U27" s="1">
        <v>500</v>
      </c>
      <c r="V27" s="1">
        <f>S27-$S$34</f>
        <v>1.9984999999999999</v>
      </c>
    </row>
    <row r="28" spans="1:22" x14ac:dyDescent="0.25">
      <c r="B28" s="6" t="s">
        <v>0</v>
      </c>
      <c r="C28" s="6">
        <v>2.1040000000000001</v>
      </c>
      <c r="D28" s="6">
        <v>2.1749999999999998</v>
      </c>
      <c r="E28" s="6">
        <v>0.189</v>
      </c>
      <c r="F28" s="6">
        <v>0.22700000000000001</v>
      </c>
      <c r="G28" s="6">
        <v>0.189</v>
      </c>
      <c r="H28" s="6">
        <v>0.14099999999999999</v>
      </c>
      <c r="I28" s="6">
        <v>0.155</v>
      </c>
      <c r="J28" s="6">
        <v>0.18</v>
      </c>
      <c r="K28" s="6">
        <v>0.155</v>
      </c>
      <c r="L28" s="6">
        <v>0.17299999999999999</v>
      </c>
      <c r="M28" s="6">
        <v>4.1000000000000002E-2</v>
      </c>
      <c r="N28" s="6">
        <v>4.1000000000000002E-2</v>
      </c>
      <c r="Q28" s="1" t="s">
        <v>9</v>
      </c>
      <c r="R28" s="1">
        <v>250</v>
      </c>
      <c r="S28" s="1">
        <f>AVERAGE(C29:D29)</f>
        <v>1.6019999999999999</v>
      </c>
      <c r="U28" s="1">
        <v>250</v>
      </c>
      <c r="V28" s="1">
        <f t="shared" ref="V28:V34" si="13">S28-$S$34</f>
        <v>1.4609999999999999</v>
      </c>
    </row>
    <row r="29" spans="1:22" x14ac:dyDescent="0.25">
      <c r="B29" s="6" t="s">
        <v>1</v>
      </c>
      <c r="C29" s="6">
        <v>1.6279999999999999</v>
      </c>
      <c r="D29" s="6">
        <v>1.5760000000000001</v>
      </c>
      <c r="E29" s="6">
        <v>0.23300000000000001</v>
      </c>
      <c r="F29" s="6">
        <v>0.221</v>
      </c>
      <c r="G29" s="6">
        <v>0.16</v>
      </c>
      <c r="H29" s="6">
        <v>0.16</v>
      </c>
      <c r="I29" s="6">
        <v>0.51200000000000001</v>
      </c>
      <c r="J29" s="6">
        <v>0.49299999999999999</v>
      </c>
      <c r="K29" s="6">
        <v>0.13800000000000001</v>
      </c>
      <c r="L29" s="6">
        <v>0.21199999999999999</v>
      </c>
      <c r="M29" s="6">
        <v>4.1000000000000002E-2</v>
      </c>
      <c r="N29" s="6">
        <v>0.04</v>
      </c>
      <c r="Q29" s="1" t="s">
        <v>10</v>
      </c>
      <c r="R29" s="1">
        <v>125</v>
      </c>
      <c r="S29" s="1">
        <f>AVERAGE(C30:D30)</f>
        <v>1.048</v>
      </c>
      <c r="U29" s="1">
        <v>125</v>
      </c>
      <c r="V29" s="1">
        <f t="shared" si="13"/>
        <v>0.90700000000000003</v>
      </c>
    </row>
    <row r="30" spans="1:22" x14ac:dyDescent="0.25">
      <c r="B30" s="6" t="s">
        <v>2</v>
      </c>
      <c r="C30" s="6">
        <v>1.097</v>
      </c>
      <c r="D30" s="6">
        <v>0.999</v>
      </c>
      <c r="E30" s="6">
        <v>0.20899999999999999</v>
      </c>
      <c r="F30" s="6">
        <v>0.16600000000000001</v>
      </c>
      <c r="G30" s="6">
        <v>0.127</v>
      </c>
      <c r="H30" s="6">
        <v>0.20499999999999999</v>
      </c>
      <c r="I30" s="6">
        <v>0.45100000000000001</v>
      </c>
      <c r="J30" s="6">
        <v>0.55200000000000005</v>
      </c>
      <c r="K30" s="6">
        <v>0.20699999999999999</v>
      </c>
      <c r="L30" s="6">
        <v>0.17299999999999999</v>
      </c>
      <c r="M30" s="6">
        <v>4.1000000000000002E-2</v>
      </c>
      <c r="N30" s="6">
        <v>0.04</v>
      </c>
      <c r="Q30" s="1" t="s">
        <v>11</v>
      </c>
      <c r="R30" s="1">
        <v>62.5</v>
      </c>
      <c r="S30" s="1">
        <f t="shared" ref="S30:S33" si="14">AVERAGE(C31:D31)</f>
        <v>0.70799999999999996</v>
      </c>
      <c r="U30" s="1">
        <v>62.5</v>
      </c>
      <c r="V30" s="1">
        <f t="shared" si="13"/>
        <v>0.56699999999999995</v>
      </c>
    </row>
    <row r="31" spans="1:22" x14ac:dyDescent="0.25">
      <c r="A31" s="1" t="s">
        <v>313</v>
      </c>
      <c r="B31" s="6" t="s">
        <v>3</v>
      </c>
      <c r="C31" s="6">
        <v>0.76300000000000001</v>
      </c>
      <c r="D31" s="6">
        <v>0.65300000000000002</v>
      </c>
      <c r="E31" s="6">
        <v>0.17699999999999999</v>
      </c>
      <c r="F31" s="6">
        <v>0.192</v>
      </c>
      <c r="G31" s="6">
        <v>0.186</v>
      </c>
      <c r="H31" s="6">
        <v>0.14099999999999999</v>
      </c>
      <c r="I31" s="6">
        <v>0.28000000000000003</v>
      </c>
      <c r="J31" s="6">
        <v>0.33600000000000002</v>
      </c>
      <c r="K31" s="6">
        <v>0.17899999999999999</v>
      </c>
      <c r="L31" s="6">
        <v>0.23300000000000001</v>
      </c>
      <c r="M31" s="6">
        <v>4.1000000000000002E-2</v>
      </c>
      <c r="N31" s="6">
        <v>0.04</v>
      </c>
      <c r="Q31" s="1" t="s">
        <v>12</v>
      </c>
      <c r="R31" s="1">
        <v>31.3</v>
      </c>
      <c r="S31" s="1">
        <f t="shared" si="14"/>
        <v>0.58450000000000002</v>
      </c>
      <c r="U31" s="1">
        <v>31.3</v>
      </c>
      <c r="V31" s="1">
        <f t="shared" si="13"/>
        <v>0.44350000000000001</v>
      </c>
    </row>
    <row r="32" spans="1:22" x14ac:dyDescent="0.25">
      <c r="B32" s="6" t="s">
        <v>4</v>
      </c>
      <c r="C32" s="6">
        <v>0.60799999999999998</v>
      </c>
      <c r="D32" s="6">
        <v>0.56100000000000005</v>
      </c>
      <c r="E32" s="6">
        <v>0.19400000000000001</v>
      </c>
      <c r="F32" s="6">
        <v>0.17</v>
      </c>
      <c r="G32" s="6">
        <v>0.184</v>
      </c>
      <c r="H32" s="6">
        <v>0.17199999999999999</v>
      </c>
      <c r="I32" s="6">
        <v>0.15</v>
      </c>
      <c r="J32" s="6">
        <v>0.16</v>
      </c>
      <c r="K32" s="6">
        <v>0.14399999999999999</v>
      </c>
      <c r="L32" s="6">
        <v>0.14699999999999999</v>
      </c>
      <c r="M32" s="6">
        <v>4.2000000000000003E-2</v>
      </c>
      <c r="N32" s="6">
        <v>0.04</v>
      </c>
      <c r="Q32" s="1" t="s">
        <v>13</v>
      </c>
      <c r="R32" s="1">
        <v>15.6</v>
      </c>
      <c r="S32" s="1">
        <f t="shared" si="14"/>
        <v>0.41349999999999998</v>
      </c>
      <c r="U32" s="1">
        <v>15.6</v>
      </c>
      <c r="V32" s="1">
        <f t="shared" si="13"/>
        <v>0.27249999999999996</v>
      </c>
    </row>
    <row r="33" spans="1:22" x14ac:dyDescent="0.25">
      <c r="B33" s="6" t="s">
        <v>5</v>
      </c>
      <c r="C33" s="6">
        <v>0.41599999999999998</v>
      </c>
      <c r="D33" s="6">
        <v>0.41099999999999998</v>
      </c>
      <c r="E33" s="6">
        <v>0.153</v>
      </c>
      <c r="F33" s="6">
        <v>0.14299999999999999</v>
      </c>
      <c r="G33" s="6">
        <v>0.30299999999999999</v>
      </c>
      <c r="H33" s="6">
        <v>0.252</v>
      </c>
      <c r="I33" s="6">
        <v>0.17499999999999999</v>
      </c>
      <c r="J33" s="6">
        <v>0.21099999999999999</v>
      </c>
      <c r="K33" s="6">
        <v>0.21199999999999999</v>
      </c>
      <c r="L33" s="6">
        <v>0.221</v>
      </c>
      <c r="M33" s="6">
        <v>4.1000000000000002E-2</v>
      </c>
      <c r="N33" s="6">
        <v>4.2000000000000003E-2</v>
      </c>
      <c r="Q33" s="1" t="s">
        <v>14</v>
      </c>
      <c r="R33" s="1">
        <v>7.8</v>
      </c>
      <c r="S33" s="1">
        <f t="shared" si="14"/>
        <v>0.25</v>
      </c>
      <c r="U33" s="1">
        <v>7.8</v>
      </c>
      <c r="V33" s="1">
        <f t="shared" si="13"/>
        <v>0.10899999999999999</v>
      </c>
    </row>
    <row r="34" spans="1:22" x14ac:dyDescent="0.25">
      <c r="B34" s="6" t="s">
        <v>6</v>
      </c>
      <c r="C34" s="6">
        <v>0.23599999999999999</v>
      </c>
      <c r="D34" s="6">
        <v>0.26400000000000001</v>
      </c>
      <c r="E34" s="6">
        <v>0.14099999999999999</v>
      </c>
      <c r="F34" s="6">
        <v>0.19600000000000001</v>
      </c>
      <c r="G34" s="6">
        <v>0.182</v>
      </c>
      <c r="H34" s="6">
        <v>0.223</v>
      </c>
      <c r="I34" s="6">
        <v>0.16300000000000001</v>
      </c>
      <c r="J34" s="6">
        <v>0.17699999999999999</v>
      </c>
      <c r="K34" s="6">
        <v>0.123</v>
      </c>
      <c r="L34" s="6">
        <v>0.154</v>
      </c>
      <c r="M34" s="6">
        <v>4.1000000000000002E-2</v>
      </c>
      <c r="N34" s="6">
        <v>4.1000000000000002E-2</v>
      </c>
      <c r="Q34" s="1" t="s">
        <v>15</v>
      </c>
      <c r="R34" s="1">
        <v>0</v>
      </c>
      <c r="S34" s="1">
        <f>AVERAGE(K35:L35)</f>
        <v>0.14100000000000001</v>
      </c>
      <c r="U34" s="1">
        <v>0</v>
      </c>
      <c r="V34" s="1">
        <f t="shared" si="13"/>
        <v>0</v>
      </c>
    </row>
    <row r="35" spans="1:22" x14ac:dyDescent="0.25">
      <c r="B35" s="6" t="s">
        <v>7</v>
      </c>
      <c r="C35" s="6">
        <v>0.189</v>
      </c>
      <c r="D35" s="6">
        <v>0.16900000000000001</v>
      </c>
      <c r="E35" s="6">
        <v>0.20699999999999999</v>
      </c>
      <c r="F35" s="6">
        <v>0.189</v>
      </c>
      <c r="G35" s="6">
        <v>0.188</v>
      </c>
      <c r="H35" s="6">
        <v>0.20799999999999999</v>
      </c>
      <c r="I35" s="6">
        <v>0.158</v>
      </c>
      <c r="J35" s="6">
        <v>0.193</v>
      </c>
      <c r="K35" s="6">
        <v>0.13600000000000001</v>
      </c>
      <c r="L35" s="6">
        <v>0.14599999999999999</v>
      </c>
      <c r="M35" s="6">
        <v>4.1000000000000002E-2</v>
      </c>
      <c r="N35" s="6">
        <v>5.2999999999999999E-2</v>
      </c>
    </row>
    <row r="37" spans="1:22" x14ac:dyDescent="0.25">
      <c r="B37" s="4" t="s">
        <v>26</v>
      </c>
      <c r="C37" s="1" t="s">
        <v>17</v>
      </c>
      <c r="D37" s="1" t="s">
        <v>27</v>
      </c>
      <c r="E37" s="1" t="s">
        <v>28</v>
      </c>
      <c r="I37" s="4" t="s">
        <v>26</v>
      </c>
      <c r="J37" s="1" t="s">
        <v>17</v>
      </c>
      <c r="K37" s="1" t="s">
        <v>27</v>
      </c>
      <c r="L37" s="1" t="s">
        <v>28</v>
      </c>
      <c r="O37" s="4" t="s">
        <v>26</v>
      </c>
      <c r="P37" s="1" t="s">
        <v>17</v>
      </c>
      <c r="Q37" s="1" t="s">
        <v>27</v>
      </c>
      <c r="R37" s="1" t="s">
        <v>28</v>
      </c>
    </row>
    <row r="38" spans="1:22" x14ac:dyDescent="0.25">
      <c r="B38" s="4" t="s">
        <v>60</v>
      </c>
      <c r="C38" s="1">
        <f>AVERAGE(E28:F28)</f>
        <v>0.20800000000000002</v>
      </c>
      <c r="D38" s="1">
        <f>C38-$S$34</f>
        <v>6.7000000000000004E-2</v>
      </c>
      <c r="E38" s="1">
        <f>(D38-0.0097)/0.0144</f>
        <v>3.979166666666667</v>
      </c>
      <c r="H38" s="1" t="s">
        <v>20</v>
      </c>
      <c r="I38" s="4" t="s">
        <v>70</v>
      </c>
      <c r="J38" s="1">
        <f>AVERAGE(G30:H30)</f>
        <v>0.16599999999999998</v>
      </c>
      <c r="K38" s="1">
        <f>J38-$S$34</f>
        <v>2.4999999999999967E-2</v>
      </c>
      <c r="L38" s="1">
        <f>2*(K38-0.0097)/0.0144</f>
        <v>2.1249999999999956</v>
      </c>
      <c r="N38" s="1" t="s">
        <v>20</v>
      </c>
      <c r="O38" s="4" t="s">
        <v>80</v>
      </c>
      <c r="P38" s="1">
        <f>AVERAGE(I32:J32)</f>
        <v>0.155</v>
      </c>
      <c r="Q38" s="1">
        <f>P38-$S$34</f>
        <v>1.3999999999999985E-2</v>
      </c>
      <c r="R38" s="1">
        <f>2*(Q38-0.0097)/0.0144</f>
        <v>0.5972222222222201</v>
      </c>
    </row>
    <row r="39" spans="1:22" x14ac:dyDescent="0.25">
      <c r="B39" s="4" t="s">
        <v>61</v>
      </c>
      <c r="C39" s="1">
        <f t="shared" ref="C39:C45" si="15">AVERAGE(E29:F29)</f>
        <v>0.22700000000000001</v>
      </c>
      <c r="D39" s="1">
        <f t="shared" ref="D39:D47" si="16">C39-$S$34</f>
        <v>8.5999999999999993E-2</v>
      </c>
      <c r="E39" s="1">
        <f t="shared" ref="E39:E47" si="17">(D39-0.0097)/0.0144</f>
        <v>5.2986111111111107</v>
      </c>
      <c r="H39" s="1" t="s">
        <v>20</v>
      </c>
      <c r="I39" s="4" t="s">
        <v>71</v>
      </c>
      <c r="J39" s="1">
        <f t="shared" ref="J39:J43" si="18">AVERAGE(G31:H31)</f>
        <v>0.16349999999999998</v>
      </c>
      <c r="K39" s="1">
        <f t="shared" ref="K39:K47" si="19">J39-$S$34</f>
        <v>2.2499999999999964E-2</v>
      </c>
      <c r="L39" s="1">
        <f>2*(K39-0.0097)/0.0144</f>
        <v>1.7777777777777728</v>
      </c>
      <c r="O39" s="4" t="s">
        <v>81</v>
      </c>
      <c r="P39" s="1">
        <f t="shared" ref="P39:P41" si="20">AVERAGE(I33:J33)</f>
        <v>0.193</v>
      </c>
      <c r="Q39" s="1">
        <f t="shared" ref="Q39:Q47" si="21">P39-$S$34</f>
        <v>5.1999999999999991E-2</v>
      </c>
      <c r="R39" s="1">
        <f t="shared" ref="R39:R47" si="22">(Q39-0.0097)/0.0144</f>
        <v>2.9374999999999996</v>
      </c>
    </row>
    <row r="40" spans="1:22" x14ac:dyDescent="0.25">
      <c r="B40" s="4" t="s">
        <v>62</v>
      </c>
      <c r="C40" s="1">
        <f t="shared" si="15"/>
        <v>0.1875</v>
      </c>
      <c r="D40" s="1">
        <f t="shared" si="16"/>
        <v>4.6499999999999986E-2</v>
      </c>
      <c r="E40" s="1">
        <f>(D40-0.0097)/0.0144</f>
        <v>2.5555555555555545</v>
      </c>
      <c r="I40" s="4" t="s">
        <v>72</v>
      </c>
      <c r="J40" s="1">
        <f t="shared" si="18"/>
        <v>0.17799999999999999</v>
      </c>
      <c r="K40" s="1">
        <f t="shared" si="19"/>
        <v>3.6999999999999977E-2</v>
      </c>
      <c r="L40" s="1">
        <f t="shared" ref="L40:L47" si="23">(K40-0.0097)/0.0144</f>
        <v>1.8958333333333317</v>
      </c>
      <c r="O40" s="4" t="s">
        <v>82</v>
      </c>
      <c r="P40" s="1">
        <f t="shared" si="20"/>
        <v>0.16999999999999998</v>
      </c>
      <c r="Q40" s="1">
        <f t="shared" si="21"/>
        <v>2.899999999999997E-2</v>
      </c>
      <c r="R40" s="1">
        <f t="shared" si="22"/>
        <v>1.3402777777777757</v>
      </c>
    </row>
    <row r="41" spans="1:22" x14ac:dyDescent="0.25">
      <c r="A41" s="1" t="s">
        <v>20</v>
      </c>
      <c r="B41" s="4" t="s">
        <v>63</v>
      </c>
      <c r="C41" s="1">
        <f t="shared" si="15"/>
        <v>0.1845</v>
      </c>
      <c r="D41" s="1">
        <f t="shared" si="16"/>
        <v>4.3499999999999983E-2</v>
      </c>
      <c r="E41" s="1">
        <f>2*(D41-0.0097)/0.0144</f>
        <v>4.694444444444442</v>
      </c>
      <c r="I41" s="4" t="s">
        <v>73</v>
      </c>
      <c r="J41" s="1">
        <f t="shared" si="18"/>
        <v>0.27749999999999997</v>
      </c>
      <c r="K41" s="1">
        <f t="shared" si="19"/>
        <v>0.13649999999999995</v>
      </c>
      <c r="L41" s="1">
        <f t="shared" si="23"/>
        <v>8.8055555555555536</v>
      </c>
      <c r="N41" s="1" t="s">
        <v>20</v>
      </c>
      <c r="O41" s="4" t="s">
        <v>83</v>
      </c>
      <c r="P41" s="1">
        <f t="shared" si="20"/>
        <v>0.17549999999999999</v>
      </c>
      <c r="Q41" s="1">
        <f t="shared" si="21"/>
        <v>3.4499999999999975E-2</v>
      </c>
      <c r="R41" s="1">
        <f>2*(Q41-0.0097)/0.0144</f>
        <v>3.4444444444444411</v>
      </c>
    </row>
    <row r="42" spans="1:22" x14ac:dyDescent="0.25">
      <c r="A42" s="1" t="s">
        <v>20</v>
      </c>
      <c r="B42" s="4" t="s">
        <v>64</v>
      </c>
      <c r="C42" s="1">
        <f t="shared" si="15"/>
        <v>0.182</v>
      </c>
      <c r="D42" s="1">
        <f t="shared" si="16"/>
        <v>4.0999999999999981E-2</v>
      </c>
      <c r="E42" s="1">
        <f>2*(D42-0.0097)/0.0144</f>
        <v>4.3472222222222197</v>
      </c>
      <c r="I42" s="4" t="s">
        <v>74</v>
      </c>
      <c r="J42" s="1">
        <f t="shared" si="18"/>
        <v>0.20250000000000001</v>
      </c>
      <c r="K42" s="1">
        <f t="shared" si="19"/>
        <v>6.1499999999999999E-2</v>
      </c>
      <c r="L42" s="1">
        <f t="shared" si="23"/>
        <v>3.5972222222222223</v>
      </c>
      <c r="O42" s="4" t="s">
        <v>84</v>
      </c>
      <c r="P42" s="1">
        <f>AVERAGE(K28:L28)</f>
        <v>0.16399999999999998</v>
      </c>
      <c r="Q42" s="1">
        <f t="shared" si="21"/>
        <v>2.2999999999999965E-2</v>
      </c>
      <c r="R42" s="1">
        <f t="shared" si="22"/>
        <v>0.92361111111110872</v>
      </c>
    </row>
    <row r="43" spans="1:22" x14ac:dyDescent="0.25">
      <c r="B43" s="4" t="s">
        <v>65</v>
      </c>
      <c r="C43" s="1">
        <f t="shared" si="15"/>
        <v>0.14799999999999999</v>
      </c>
      <c r="D43" s="1">
        <f t="shared" si="16"/>
        <v>6.9999999999999785E-3</v>
      </c>
      <c r="E43" s="1">
        <f t="shared" si="17"/>
        <v>-0.18750000000000153</v>
      </c>
      <c r="I43" s="4" t="s">
        <v>75</v>
      </c>
      <c r="J43" s="1">
        <f t="shared" si="18"/>
        <v>0.19800000000000001</v>
      </c>
      <c r="K43" s="1">
        <f t="shared" si="19"/>
        <v>5.6999999999999995E-2</v>
      </c>
      <c r="L43" s="1">
        <f t="shared" si="23"/>
        <v>3.2847222222222219</v>
      </c>
      <c r="O43" s="4" t="s">
        <v>85</v>
      </c>
      <c r="P43" s="1">
        <f t="shared" ref="P43:P47" si="24">AVERAGE(K29:L29)</f>
        <v>0.17499999999999999</v>
      </c>
      <c r="Q43" s="1">
        <f t="shared" si="21"/>
        <v>3.3999999999999975E-2</v>
      </c>
      <c r="R43" s="1">
        <f t="shared" si="22"/>
        <v>1.6874999999999982</v>
      </c>
    </row>
    <row r="44" spans="1:22" x14ac:dyDescent="0.25">
      <c r="B44" s="4" t="s">
        <v>66</v>
      </c>
      <c r="C44" s="1">
        <f t="shared" si="15"/>
        <v>0.16849999999999998</v>
      </c>
      <c r="D44" s="1">
        <f t="shared" si="16"/>
        <v>2.7499999999999969E-2</v>
      </c>
      <c r="E44" s="1">
        <f t="shared" si="17"/>
        <v>1.2361111111111089</v>
      </c>
      <c r="H44" s="1" t="s">
        <v>20</v>
      </c>
      <c r="I44" s="4" t="s">
        <v>76</v>
      </c>
      <c r="J44" s="1">
        <f>AVERAGE(I28:J28)</f>
        <v>0.16749999999999998</v>
      </c>
      <c r="K44" s="1">
        <f t="shared" si="19"/>
        <v>2.6499999999999968E-2</v>
      </c>
      <c r="L44" s="1">
        <f>2*(K44-0.0097)/0.0144</f>
        <v>2.333333333333329</v>
      </c>
      <c r="N44" s="1" t="s">
        <v>20</v>
      </c>
      <c r="O44" s="4" t="s">
        <v>86</v>
      </c>
      <c r="P44" s="1">
        <f t="shared" si="24"/>
        <v>0.19</v>
      </c>
      <c r="Q44" s="1">
        <f t="shared" si="21"/>
        <v>4.8999999999999988E-2</v>
      </c>
      <c r="R44" s="1">
        <f>2*(Q44-0.0097)/0.0144</f>
        <v>5.4583333333333321</v>
      </c>
    </row>
    <row r="45" spans="1:22" x14ac:dyDescent="0.25">
      <c r="B45" s="4" t="s">
        <v>67</v>
      </c>
      <c r="C45" s="1">
        <f t="shared" si="15"/>
        <v>0.19800000000000001</v>
      </c>
      <c r="D45" s="1">
        <f t="shared" si="16"/>
        <v>5.6999999999999995E-2</v>
      </c>
      <c r="E45" s="1">
        <f t="shared" si="17"/>
        <v>3.2847222222222219</v>
      </c>
      <c r="I45" s="4" t="s">
        <v>77</v>
      </c>
      <c r="J45" s="1">
        <f t="shared" ref="J45:J47" si="25">AVERAGE(I29:J29)</f>
        <v>0.50249999999999995</v>
      </c>
      <c r="K45" s="1">
        <f t="shared" si="19"/>
        <v>0.36149999999999993</v>
      </c>
      <c r="L45" s="1">
        <f t="shared" si="23"/>
        <v>24.430555555555554</v>
      </c>
      <c r="O45" s="4" t="s">
        <v>87</v>
      </c>
      <c r="P45" s="1">
        <f t="shared" si="24"/>
        <v>0.20600000000000002</v>
      </c>
      <c r="Q45" s="1">
        <f t="shared" si="21"/>
        <v>6.5000000000000002E-2</v>
      </c>
      <c r="R45" s="1">
        <f t="shared" si="22"/>
        <v>3.8402777777777781</v>
      </c>
    </row>
    <row r="46" spans="1:22" x14ac:dyDescent="0.25">
      <c r="A46" s="1" t="s">
        <v>20</v>
      </c>
      <c r="B46" s="4" t="s">
        <v>68</v>
      </c>
      <c r="C46" s="1">
        <f>AVERAGE(G28:H28)</f>
        <v>0.16499999999999998</v>
      </c>
      <c r="D46" s="1">
        <f t="shared" si="16"/>
        <v>2.3999999999999966E-2</v>
      </c>
      <c r="E46" s="1">
        <f>2*(D46-0.0097)/0.0144</f>
        <v>1.9861111111111063</v>
      </c>
      <c r="I46" s="4" t="s">
        <v>78</v>
      </c>
      <c r="J46" s="1">
        <f t="shared" si="25"/>
        <v>0.50150000000000006</v>
      </c>
      <c r="K46" s="1">
        <f t="shared" si="19"/>
        <v>0.36050000000000004</v>
      </c>
      <c r="L46" s="1">
        <f t="shared" si="23"/>
        <v>24.361111111111114</v>
      </c>
      <c r="O46" s="4" t="s">
        <v>88</v>
      </c>
      <c r="P46" s="1">
        <f t="shared" si="24"/>
        <v>0.14549999999999999</v>
      </c>
      <c r="Q46" s="1">
        <f t="shared" si="21"/>
        <v>4.4999999999999762E-3</v>
      </c>
      <c r="R46" s="1">
        <f t="shared" si="22"/>
        <v>-0.36111111111111277</v>
      </c>
    </row>
    <row r="47" spans="1:22" x14ac:dyDescent="0.25">
      <c r="B47" s="4" t="s">
        <v>69</v>
      </c>
      <c r="C47" s="1">
        <f>AVERAGE(G29:H29)</f>
        <v>0.16</v>
      </c>
      <c r="D47" s="1">
        <f t="shared" si="16"/>
        <v>1.8999999999999989E-2</v>
      </c>
      <c r="E47" s="1">
        <f t="shared" si="17"/>
        <v>0.64583333333333259</v>
      </c>
      <c r="I47" s="4" t="s">
        <v>79</v>
      </c>
      <c r="J47" s="1">
        <f t="shared" si="25"/>
        <v>0.30800000000000005</v>
      </c>
      <c r="K47" s="1">
        <f t="shared" si="19"/>
        <v>0.16700000000000004</v>
      </c>
      <c r="L47" s="1">
        <f t="shared" si="23"/>
        <v>10.923611111111114</v>
      </c>
      <c r="O47" s="4" t="s">
        <v>89</v>
      </c>
      <c r="P47" s="1">
        <f t="shared" si="24"/>
        <v>0.2165</v>
      </c>
      <c r="Q47" s="1">
        <f t="shared" si="21"/>
        <v>7.5499999999999984E-2</v>
      </c>
      <c r="R47" s="1">
        <f t="shared" si="22"/>
        <v>4.5694444444444438</v>
      </c>
    </row>
    <row r="49" spans="1:22" x14ac:dyDescent="0.25">
      <c r="D49" s="1" t="s">
        <v>16</v>
      </c>
      <c r="E49" s="1">
        <f>AVERAGE(E38:E47)</f>
        <v>2.784027777777776</v>
      </c>
      <c r="K49" s="1" t="s">
        <v>16</v>
      </c>
      <c r="L49" s="1">
        <f>AVERAGE(L38:L47)</f>
        <v>8.3534722222222193</v>
      </c>
      <c r="Q49" s="1" t="s">
        <v>16</v>
      </c>
      <c r="R49" s="1">
        <f>AVERAGE(R38:R47)</f>
        <v>2.4437499999999983</v>
      </c>
    </row>
    <row r="57" spans="1:22" x14ac:dyDescent="0.25">
      <c r="Q57" s="1" t="s">
        <v>49</v>
      </c>
      <c r="R57" s="1" t="s">
        <v>18</v>
      </c>
      <c r="S57" s="1" t="s">
        <v>17</v>
      </c>
      <c r="U57" s="1" t="s">
        <v>18</v>
      </c>
      <c r="V57" s="1" t="s">
        <v>17</v>
      </c>
    </row>
    <row r="58" spans="1:22" x14ac:dyDescent="0.25">
      <c r="B58" s="5"/>
      <c r="C58" s="6">
        <v>1</v>
      </c>
      <c r="D58" s="6">
        <v>2</v>
      </c>
      <c r="E58" s="6">
        <v>3</v>
      </c>
      <c r="F58" s="6">
        <v>4</v>
      </c>
      <c r="G58" s="6">
        <v>5</v>
      </c>
      <c r="H58" s="6">
        <v>6</v>
      </c>
      <c r="I58" s="6">
        <v>7</v>
      </c>
      <c r="J58" s="6">
        <v>8</v>
      </c>
      <c r="K58" s="6">
        <v>9</v>
      </c>
      <c r="L58" s="6">
        <v>10</v>
      </c>
      <c r="M58" s="6">
        <v>11</v>
      </c>
      <c r="N58" s="6">
        <v>12</v>
      </c>
      <c r="Q58" s="1" t="s">
        <v>8</v>
      </c>
      <c r="R58" s="1">
        <v>500</v>
      </c>
      <c r="S58" s="1">
        <f>AVERAGE(C59:D59)</f>
        <v>2.0419999999999998</v>
      </c>
      <c r="U58" s="1">
        <v>500</v>
      </c>
      <c r="V58" s="1">
        <f>S58-$S$65</f>
        <v>1.9694999999999998</v>
      </c>
    </row>
    <row r="59" spans="1:22" x14ac:dyDescent="0.25">
      <c r="B59" s="6" t="s">
        <v>0</v>
      </c>
      <c r="C59" s="6">
        <v>2.0630000000000002</v>
      </c>
      <c r="D59" s="6">
        <v>2.0209999999999999</v>
      </c>
      <c r="E59" s="6">
        <v>0.30299999999999999</v>
      </c>
      <c r="F59" s="6">
        <v>0.32600000000000001</v>
      </c>
      <c r="G59" s="6">
        <v>0.25900000000000001</v>
      </c>
      <c r="H59" s="6">
        <v>0.25600000000000001</v>
      </c>
      <c r="I59" s="6">
        <v>0.13400000000000001</v>
      </c>
      <c r="J59" s="6">
        <v>0.13800000000000001</v>
      </c>
      <c r="K59" s="6">
        <v>0.18099999999999999</v>
      </c>
      <c r="L59" s="6">
        <v>0.16700000000000001</v>
      </c>
      <c r="M59" s="6">
        <v>6.4000000000000001E-2</v>
      </c>
      <c r="N59" s="6">
        <v>0.45400000000000001</v>
      </c>
      <c r="Q59" s="1" t="s">
        <v>9</v>
      </c>
      <c r="R59" s="1">
        <v>250</v>
      </c>
      <c r="S59" s="1">
        <f>AVERAGE(C60:D60)</f>
        <v>1.4449999999999998</v>
      </c>
      <c r="U59" s="1">
        <v>250</v>
      </c>
      <c r="V59" s="1">
        <f t="shared" ref="V59:V65" si="26">S59-$S$65</f>
        <v>1.3724999999999998</v>
      </c>
    </row>
    <row r="60" spans="1:22" x14ac:dyDescent="0.25">
      <c r="B60" s="6" t="s">
        <v>1</v>
      </c>
      <c r="C60" s="6">
        <v>1.46</v>
      </c>
      <c r="D60" s="6">
        <v>1.43</v>
      </c>
      <c r="E60" s="6">
        <v>0.499</v>
      </c>
      <c r="F60" s="6">
        <v>0.51400000000000001</v>
      </c>
      <c r="G60" s="6">
        <v>0.39800000000000002</v>
      </c>
      <c r="H60" s="6">
        <v>0.33300000000000002</v>
      </c>
      <c r="I60" s="6">
        <v>0.16200000000000001</v>
      </c>
      <c r="J60" s="6">
        <v>0.19900000000000001</v>
      </c>
      <c r="K60" s="6">
        <v>0.14599999999999999</v>
      </c>
      <c r="L60" s="6">
        <v>0.17</v>
      </c>
      <c r="M60" s="6">
        <v>4.1000000000000002E-2</v>
      </c>
      <c r="N60" s="6">
        <v>0.04</v>
      </c>
      <c r="Q60" s="1" t="s">
        <v>10</v>
      </c>
      <c r="R60" s="1">
        <v>125</v>
      </c>
      <c r="S60" s="1">
        <f>AVERAGE(C61:D61)</f>
        <v>0.89149999999999996</v>
      </c>
      <c r="U60" s="1">
        <v>125</v>
      </c>
      <c r="V60" s="1">
        <f t="shared" si="26"/>
        <v>0.81899999999999995</v>
      </c>
    </row>
    <row r="61" spans="1:22" x14ac:dyDescent="0.25">
      <c r="A61" s="1" t="s">
        <v>314</v>
      </c>
      <c r="B61" s="6" t="s">
        <v>2</v>
      </c>
      <c r="C61" s="6">
        <v>0.89</v>
      </c>
      <c r="D61" s="6">
        <v>0.89300000000000002</v>
      </c>
      <c r="E61" s="6">
        <v>0.32300000000000001</v>
      </c>
      <c r="F61" s="6">
        <v>0.34599999999999997</v>
      </c>
      <c r="G61" s="6">
        <v>0.11799999999999999</v>
      </c>
      <c r="H61" s="6">
        <v>0.16600000000000001</v>
      </c>
      <c r="I61" s="6">
        <v>0.121</v>
      </c>
      <c r="J61" s="6">
        <v>0.113</v>
      </c>
      <c r="K61" s="6">
        <v>0.34599999999999997</v>
      </c>
      <c r="L61" s="6">
        <v>0.32400000000000001</v>
      </c>
      <c r="M61" s="6">
        <v>4.1000000000000002E-2</v>
      </c>
      <c r="N61" s="6">
        <v>4.1000000000000002E-2</v>
      </c>
      <c r="Q61" s="1" t="s">
        <v>11</v>
      </c>
      <c r="R61" s="1">
        <v>62.5</v>
      </c>
      <c r="S61" s="1">
        <f t="shared" ref="S61:S64" si="27">AVERAGE(C62:D62)</f>
        <v>0.55249999999999999</v>
      </c>
      <c r="U61" s="1">
        <v>62.5</v>
      </c>
      <c r="V61" s="1">
        <f t="shared" si="26"/>
        <v>0.48</v>
      </c>
    </row>
    <row r="62" spans="1:22" x14ac:dyDescent="0.25">
      <c r="B62" s="6" t="s">
        <v>3</v>
      </c>
      <c r="C62" s="6">
        <v>0.54300000000000004</v>
      </c>
      <c r="D62" s="6">
        <v>0.56200000000000006</v>
      </c>
      <c r="E62" s="6">
        <v>0.28100000000000003</v>
      </c>
      <c r="F62" s="6">
        <v>0.28199999999999997</v>
      </c>
      <c r="G62" s="6">
        <v>0.14899999999999999</v>
      </c>
      <c r="H62" s="6">
        <v>0.14399999999999999</v>
      </c>
      <c r="I62" s="6">
        <v>0.153</v>
      </c>
      <c r="J62" s="6">
        <v>0.124</v>
      </c>
      <c r="K62" s="6">
        <v>0.20599999999999999</v>
      </c>
      <c r="L62" s="6">
        <v>0.248</v>
      </c>
      <c r="M62" s="6">
        <v>4.1000000000000002E-2</v>
      </c>
      <c r="N62" s="6">
        <v>4.1000000000000002E-2</v>
      </c>
      <c r="Q62" s="1" t="s">
        <v>12</v>
      </c>
      <c r="R62" s="1">
        <v>31.3</v>
      </c>
      <c r="S62" s="1">
        <f t="shared" si="27"/>
        <v>0.41249999999999998</v>
      </c>
      <c r="U62" s="1">
        <v>31.3</v>
      </c>
      <c r="V62" s="1">
        <f t="shared" si="26"/>
        <v>0.33999999999999997</v>
      </c>
    </row>
    <row r="63" spans="1:22" x14ac:dyDescent="0.25">
      <c r="B63" s="6" t="s">
        <v>4</v>
      </c>
      <c r="C63" s="6">
        <v>0.4</v>
      </c>
      <c r="D63" s="6">
        <v>0.42499999999999999</v>
      </c>
      <c r="E63" s="6">
        <v>0.24</v>
      </c>
      <c r="F63" s="6">
        <v>0.223</v>
      </c>
      <c r="G63" s="6">
        <v>0.13400000000000001</v>
      </c>
      <c r="H63" s="6">
        <v>0.157</v>
      </c>
      <c r="I63" s="6">
        <v>0.18099999999999999</v>
      </c>
      <c r="J63" s="6">
        <v>0.14599999999999999</v>
      </c>
      <c r="K63" s="6">
        <v>0.223</v>
      </c>
      <c r="L63" s="6">
        <v>0.19700000000000001</v>
      </c>
      <c r="M63" s="6">
        <v>4.1000000000000002E-2</v>
      </c>
      <c r="N63" s="6">
        <v>4.1000000000000002E-2</v>
      </c>
      <c r="Q63" s="1" t="s">
        <v>13</v>
      </c>
      <c r="R63" s="1">
        <v>15.6</v>
      </c>
      <c r="S63" s="1">
        <f t="shared" si="27"/>
        <v>0.32450000000000001</v>
      </c>
      <c r="U63" s="1">
        <v>15.6</v>
      </c>
      <c r="V63" s="1">
        <f t="shared" si="26"/>
        <v>0.252</v>
      </c>
    </row>
    <row r="64" spans="1:22" x14ac:dyDescent="0.25">
      <c r="B64" s="6" t="s">
        <v>5</v>
      </c>
      <c r="C64" s="6">
        <v>0.309</v>
      </c>
      <c r="D64" s="6">
        <v>0.34</v>
      </c>
      <c r="E64" s="6">
        <v>0.32400000000000001</v>
      </c>
      <c r="F64" s="6">
        <v>0.23899999999999999</v>
      </c>
      <c r="G64" s="6">
        <v>0.14499999999999999</v>
      </c>
      <c r="H64" s="6">
        <v>0.158</v>
      </c>
      <c r="I64" s="6">
        <v>0.28100000000000003</v>
      </c>
      <c r="J64" s="6">
        <v>0.32100000000000001</v>
      </c>
      <c r="K64" s="6">
        <v>0.20300000000000001</v>
      </c>
      <c r="L64" s="6">
        <v>0.187</v>
      </c>
      <c r="M64" s="6">
        <v>4.1000000000000002E-2</v>
      </c>
      <c r="N64" s="6">
        <v>0.04</v>
      </c>
      <c r="Q64" s="1" t="s">
        <v>14</v>
      </c>
      <c r="R64" s="1">
        <v>7.8</v>
      </c>
      <c r="S64" s="1">
        <f t="shared" si="27"/>
        <v>0.22600000000000001</v>
      </c>
      <c r="U64" s="1">
        <v>7.8</v>
      </c>
      <c r="V64" s="1">
        <f t="shared" si="26"/>
        <v>0.15350000000000003</v>
      </c>
    </row>
    <row r="65" spans="1:22" x14ac:dyDescent="0.25">
      <c r="B65" s="6" t="s">
        <v>6</v>
      </c>
      <c r="C65" s="6">
        <v>0.26700000000000002</v>
      </c>
      <c r="D65" s="6">
        <v>0.185</v>
      </c>
      <c r="E65" s="6">
        <v>0.39100000000000001</v>
      </c>
      <c r="F65" s="6">
        <v>0.39500000000000002</v>
      </c>
      <c r="G65" s="6">
        <v>0.17100000000000001</v>
      </c>
      <c r="H65" s="6">
        <v>0.16500000000000001</v>
      </c>
      <c r="I65" s="6">
        <v>0.247</v>
      </c>
      <c r="J65" s="6">
        <v>0.223</v>
      </c>
      <c r="K65" s="6">
        <v>0.106</v>
      </c>
      <c r="L65" s="6">
        <v>8.1000000000000003E-2</v>
      </c>
      <c r="M65" s="6">
        <v>0.04</v>
      </c>
      <c r="N65" s="6">
        <v>4.1000000000000002E-2</v>
      </c>
      <c r="Q65" s="1" t="s">
        <v>15</v>
      </c>
      <c r="R65" s="1">
        <v>0</v>
      </c>
      <c r="S65" s="1">
        <f>AVERAGE(K66:L66)</f>
        <v>7.2499999999999995E-2</v>
      </c>
      <c r="U65" s="1">
        <v>0</v>
      </c>
      <c r="V65" s="1">
        <f t="shared" si="26"/>
        <v>0</v>
      </c>
    </row>
    <row r="66" spans="1:22" x14ac:dyDescent="0.25">
      <c r="B66" s="6" t="s">
        <v>7</v>
      </c>
      <c r="C66" s="6">
        <v>0.159</v>
      </c>
      <c r="D66" s="6">
        <v>0.128</v>
      </c>
      <c r="E66" s="6">
        <v>0.42299999999999999</v>
      </c>
      <c r="F66" s="6">
        <v>0.38200000000000001</v>
      </c>
      <c r="G66" s="6">
        <v>0.153</v>
      </c>
      <c r="H66" s="6">
        <v>0.16700000000000001</v>
      </c>
      <c r="I66" s="6">
        <v>0.19500000000000001</v>
      </c>
      <c r="J66" s="6">
        <v>0.155</v>
      </c>
      <c r="K66" s="6">
        <v>7.1999999999999995E-2</v>
      </c>
      <c r="L66" s="6">
        <v>7.2999999999999995E-2</v>
      </c>
      <c r="M66" s="6">
        <v>4.1000000000000002E-2</v>
      </c>
      <c r="N66" s="6">
        <v>4.1000000000000002E-2</v>
      </c>
    </row>
    <row r="68" spans="1:22" x14ac:dyDescent="0.25">
      <c r="B68" s="4" t="s">
        <v>26</v>
      </c>
      <c r="C68" s="1" t="s">
        <v>17</v>
      </c>
      <c r="E68" s="1" t="s">
        <v>28</v>
      </c>
      <c r="I68" s="4" t="s">
        <v>26</v>
      </c>
      <c r="J68" s="1" t="s">
        <v>17</v>
      </c>
      <c r="L68" s="1" t="s">
        <v>28</v>
      </c>
      <c r="O68" s="4" t="s">
        <v>26</v>
      </c>
      <c r="P68" s="1" t="s">
        <v>17</v>
      </c>
      <c r="R68" s="1" t="s">
        <v>28</v>
      </c>
    </row>
    <row r="69" spans="1:22" x14ac:dyDescent="0.25">
      <c r="A69" s="1" t="s">
        <v>20</v>
      </c>
      <c r="B69" s="4" t="s">
        <v>100</v>
      </c>
      <c r="C69" s="1">
        <f>AVERAGE(E59:F59)</f>
        <v>0.3145</v>
      </c>
      <c r="E69" s="1">
        <f>2*(C69-0.1167)/0.0104</f>
        <v>38.03846153846154</v>
      </c>
      <c r="H69" s="1" t="s">
        <v>20</v>
      </c>
      <c r="I69" s="4" t="s">
        <v>110</v>
      </c>
      <c r="J69" s="1">
        <f>AVERAGE(G61:H61)</f>
        <v>0.14200000000000002</v>
      </c>
      <c r="L69" s="1">
        <f>2*(J69-0.117)/0.0104</f>
        <v>4.8076923076923093</v>
      </c>
      <c r="O69" s="4" t="s">
        <v>90</v>
      </c>
      <c r="P69" s="1">
        <f>AVERAGE(I63:J63)</f>
        <v>0.16349999999999998</v>
      </c>
      <c r="R69" s="1">
        <f>(P69-0.1167)/0.0104</f>
        <v>4.4999999999999982</v>
      </c>
    </row>
    <row r="70" spans="1:22" x14ac:dyDescent="0.25">
      <c r="B70" s="4" t="s">
        <v>101</v>
      </c>
      <c r="C70" s="1">
        <f t="shared" ref="C70:C76" si="28">AVERAGE(E60:F60)</f>
        <v>0.50649999999999995</v>
      </c>
      <c r="E70" s="1">
        <f t="shared" ref="E70:E78" si="29">(C70-0.1167)/0.0104</f>
        <v>37.480769230769226</v>
      </c>
      <c r="I70" s="4" t="s">
        <v>111</v>
      </c>
      <c r="J70" s="1">
        <f t="shared" ref="J70:J74" si="30">AVERAGE(G62:H62)</f>
        <v>0.14649999999999999</v>
      </c>
      <c r="L70" s="1">
        <f t="shared" ref="L70:L78" si="31">(J70-0.117)/0.0104</f>
        <v>2.8365384615384603</v>
      </c>
      <c r="O70" s="4" t="s">
        <v>91</v>
      </c>
      <c r="P70" s="1">
        <f t="shared" ref="P70:P72" si="32">AVERAGE(I64:J64)</f>
        <v>0.30100000000000005</v>
      </c>
      <c r="R70" s="1">
        <f>(P70-0.1167)/0.0104</f>
        <v>17.72115384615385</v>
      </c>
    </row>
    <row r="71" spans="1:22" x14ac:dyDescent="0.25">
      <c r="A71" s="1" t="s">
        <v>20</v>
      </c>
      <c r="B71" s="4" t="s">
        <v>102</v>
      </c>
      <c r="C71" s="1">
        <f t="shared" si="28"/>
        <v>0.33450000000000002</v>
      </c>
      <c r="E71" s="1">
        <f>2*(C71-0.1167)/0.0104</f>
        <v>41.884615384615394</v>
      </c>
      <c r="H71" s="1" t="s">
        <v>20</v>
      </c>
      <c r="I71" s="4" t="s">
        <v>112</v>
      </c>
      <c r="J71" s="1">
        <f t="shared" si="30"/>
        <v>0.14550000000000002</v>
      </c>
      <c r="L71" s="1">
        <f>2*(J71-0.117)/0.0104</f>
        <v>5.4807692307692335</v>
      </c>
      <c r="N71" s="1" t="s">
        <v>20</v>
      </c>
      <c r="O71" s="4" t="s">
        <v>92</v>
      </c>
      <c r="P71" s="1">
        <f t="shared" si="32"/>
        <v>0.23499999999999999</v>
      </c>
      <c r="R71" s="1">
        <f>2*(P71-0.1167)/0.0104</f>
        <v>22.75</v>
      </c>
    </row>
    <row r="72" spans="1:22" x14ac:dyDescent="0.25">
      <c r="B72" s="4" t="s">
        <v>103</v>
      </c>
      <c r="C72" s="1">
        <f t="shared" si="28"/>
        <v>0.28149999999999997</v>
      </c>
      <c r="E72" s="1">
        <f t="shared" si="29"/>
        <v>15.846153846153845</v>
      </c>
      <c r="I72" s="4" t="s">
        <v>113</v>
      </c>
      <c r="J72" s="1">
        <f t="shared" si="30"/>
        <v>0.1515</v>
      </c>
      <c r="L72" s="1">
        <f t="shared" si="31"/>
        <v>3.3173076923076916</v>
      </c>
      <c r="O72" s="4" t="s">
        <v>93</v>
      </c>
      <c r="P72" s="1">
        <f t="shared" si="32"/>
        <v>0.17499999999999999</v>
      </c>
      <c r="R72" s="1">
        <f t="shared" ref="R72:R75" si="33">(P72-0.1167)/0.0104</f>
        <v>5.6057692307692299</v>
      </c>
    </row>
    <row r="73" spans="1:22" x14ac:dyDescent="0.25">
      <c r="B73" s="4" t="s">
        <v>104</v>
      </c>
      <c r="C73" s="1">
        <f t="shared" si="28"/>
        <v>0.23149999999999998</v>
      </c>
      <c r="E73" s="1">
        <f t="shared" si="29"/>
        <v>11.038461538461538</v>
      </c>
      <c r="I73" s="4" t="s">
        <v>114</v>
      </c>
      <c r="J73" s="1">
        <f t="shared" si="30"/>
        <v>0.16800000000000001</v>
      </c>
      <c r="L73" s="1">
        <f t="shared" si="31"/>
        <v>4.9038461538461542</v>
      </c>
      <c r="O73" s="4" t="s">
        <v>94</v>
      </c>
      <c r="P73" s="1">
        <f>AVERAGE(K59:L59)</f>
        <v>0.17399999999999999</v>
      </c>
      <c r="R73" s="1">
        <f t="shared" si="33"/>
        <v>5.5096153846153841</v>
      </c>
    </row>
    <row r="74" spans="1:22" x14ac:dyDescent="0.25">
      <c r="A74" s="1" t="s">
        <v>20</v>
      </c>
      <c r="B74" s="4" t="s">
        <v>105</v>
      </c>
      <c r="C74" s="1">
        <f t="shared" si="28"/>
        <v>0.28149999999999997</v>
      </c>
      <c r="E74" s="1">
        <f>2*(C74-0.1167)/0.0104</f>
        <v>31.69230769230769</v>
      </c>
      <c r="I74" s="4" t="s">
        <v>115</v>
      </c>
      <c r="J74" s="1">
        <f t="shared" si="30"/>
        <v>0.16</v>
      </c>
      <c r="L74" s="1">
        <f t="shared" si="31"/>
        <v>4.1346153846153841</v>
      </c>
      <c r="N74" s="1" t="s">
        <v>20</v>
      </c>
      <c r="O74" s="4" t="s">
        <v>95</v>
      </c>
      <c r="P74" s="1">
        <f t="shared" ref="P74:P78" si="34">AVERAGE(K60:L60)</f>
        <v>0.158</v>
      </c>
      <c r="R74" s="1">
        <f>2*(P74-0.1167)/0.0104</f>
        <v>7.9423076923076934</v>
      </c>
    </row>
    <row r="75" spans="1:22" x14ac:dyDescent="0.25">
      <c r="B75" s="4" t="s">
        <v>106</v>
      </c>
      <c r="C75" s="1">
        <f t="shared" si="28"/>
        <v>0.39300000000000002</v>
      </c>
      <c r="E75" s="1">
        <f t="shared" si="29"/>
        <v>26.567307692307693</v>
      </c>
      <c r="H75" s="1" t="s">
        <v>20</v>
      </c>
      <c r="I75" s="4" t="s">
        <v>116</v>
      </c>
      <c r="J75" s="1">
        <f>AVERAGE(I59:J59)</f>
        <v>0.13600000000000001</v>
      </c>
      <c r="L75" s="1">
        <f>2*(J75-0.117)/0.0104</f>
        <v>3.6538461538461546</v>
      </c>
      <c r="O75" s="4" t="s">
        <v>96</v>
      </c>
      <c r="P75" s="1">
        <f t="shared" si="34"/>
        <v>0.33499999999999996</v>
      </c>
      <c r="R75" s="1">
        <f t="shared" si="33"/>
        <v>20.990384615384613</v>
      </c>
    </row>
    <row r="76" spans="1:22" x14ac:dyDescent="0.25">
      <c r="B76" s="4" t="s">
        <v>107</v>
      </c>
      <c r="C76" s="1">
        <f t="shared" si="28"/>
        <v>0.40249999999999997</v>
      </c>
      <c r="E76" s="1">
        <f t="shared" si="29"/>
        <v>27.480769230769226</v>
      </c>
      <c r="I76" s="4" t="s">
        <v>117</v>
      </c>
      <c r="J76" s="1">
        <f t="shared" ref="J76:J78" si="35">AVERAGE(I60:J60)</f>
        <v>0.18049999999999999</v>
      </c>
      <c r="L76" s="1">
        <f t="shared" si="31"/>
        <v>6.1057692307692299</v>
      </c>
      <c r="N76" s="1" t="s">
        <v>20</v>
      </c>
      <c r="O76" s="4" t="s">
        <v>97</v>
      </c>
      <c r="P76" s="1">
        <f t="shared" si="34"/>
        <v>0.22699999999999998</v>
      </c>
      <c r="R76" s="1">
        <f>2*(P76-0.1167)/0.0104</f>
        <v>21.21153846153846</v>
      </c>
    </row>
    <row r="77" spans="1:22" x14ac:dyDescent="0.25">
      <c r="B77" s="4" t="s">
        <v>108</v>
      </c>
      <c r="C77" s="1">
        <f>AVERAGE(G59:H59)</f>
        <v>0.25750000000000001</v>
      </c>
      <c r="E77" s="1">
        <f t="shared" si="29"/>
        <v>13.53846153846154</v>
      </c>
      <c r="I77" s="4" t="s">
        <v>118</v>
      </c>
      <c r="J77" s="1">
        <f t="shared" si="35"/>
        <v>0.11699999999999999</v>
      </c>
      <c r="L77" s="1">
        <f t="shared" si="31"/>
        <v>-1.3344026738283132E-15</v>
      </c>
      <c r="N77" s="1" t="s">
        <v>20</v>
      </c>
      <c r="O77" s="4" t="s">
        <v>98</v>
      </c>
      <c r="P77" s="1">
        <f t="shared" si="34"/>
        <v>0.21000000000000002</v>
      </c>
      <c r="R77" s="1">
        <f>2*(P77-0.1167)/0.0104</f>
        <v>17.942307692307697</v>
      </c>
    </row>
    <row r="78" spans="1:22" x14ac:dyDescent="0.25">
      <c r="B78" s="4" t="s">
        <v>109</v>
      </c>
      <c r="C78" s="1">
        <f>AVERAGE(G60:H60)</f>
        <v>0.36550000000000005</v>
      </c>
      <c r="E78" s="1">
        <f t="shared" si="29"/>
        <v>23.92307692307693</v>
      </c>
      <c r="I78" s="4" t="s">
        <v>119</v>
      </c>
      <c r="J78" s="1">
        <f t="shared" si="35"/>
        <v>0.13850000000000001</v>
      </c>
      <c r="L78" s="1">
        <f t="shared" si="31"/>
        <v>2.067307692307693</v>
      </c>
      <c r="N78" s="1" t="s">
        <v>20</v>
      </c>
      <c r="O78" s="4" t="s">
        <v>99</v>
      </c>
      <c r="P78" s="1">
        <f t="shared" si="34"/>
        <v>0.19500000000000001</v>
      </c>
      <c r="R78" s="1">
        <f>2*(P78-0.1167)/0.0104</f>
        <v>15.05769230769231</v>
      </c>
    </row>
    <row r="80" spans="1:22" x14ac:dyDescent="0.25">
      <c r="D80" s="1" t="s">
        <v>16</v>
      </c>
      <c r="E80" s="1">
        <f>AVERAGE(E69:E78)</f>
        <v>26.749038461538458</v>
      </c>
      <c r="K80" s="1" t="s">
        <v>16</v>
      </c>
      <c r="L80" s="1">
        <f>AVERAGE(L69:L78)</f>
        <v>3.7307692307692308</v>
      </c>
      <c r="Q80" s="1" t="s">
        <v>16</v>
      </c>
      <c r="R80" s="1">
        <f>AVERAGE(R69:R78)</f>
        <v>13.923076923076923</v>
      </c>
    </row>
    <row r="84" spans="1:22" x14ac:dyDescent="0.25">
      <c r="Q84" s="1" t="s">
        <v>49</v>
      </c>
      <c r="R84" s="1" t="s">
        <v>18</v>
      </c>
      <c r="S84" s="1" t="s">
        <v>17</v>
      </c>
      <c r="U84" s="1" t="s">
        <v>18</v>
      </c>
      <c r="V84" s="1" t="s">
        <v>17</v>
      </c>
    </row>
    <row r="85" spans="1:22" x14ac:dyDescent="0.25">
      <c r="B85" s="5"/>
      <c r="C85" s="6">
        <v>1</v>
      </c>
      <c r="D85" s="6">
        <v>2</v>
      </c>
      <c r="E85" s="6">
        <v>3</v>
      </c>
      <c r="F85" s="6">
        <v>4</v>
      </c>
      <c r="G85" s="6">
        <v>5</v>
      </c>
      <c r="H85" s="6">
        <v>6</v>
      </c>
      <c r="I85" s="6">
        <v>7</v>
      </c>
      <c r="J85" s="6">
        <v>8</v>
      </c>
      <c r="K85" s="6">
        <v>9</v>
      </c>
      <c r="L85" s="6">
        <v>10</v>
      </c>
      <c r="M85" s="6">
        <v>11</v>
      </c>
      <c r="N85" s="6">
        <v>12</v>
      </c>
      <c r="Q85" s="1" t="s">
        <v>8</v>
      </c>
      <c r="R85" s="1">
        <v>500</v>
      </c>
      <c r="S85" s="1">
        <f>AVERAGE(C86:D86)</f>
        <v>2.4295</v>
      </c>
      <c r="U85" s="1">
        <v>500</v>
      </c>
      <c r="V85" s="1">
        <f>S85-$S$92</f>
        <v>2.3504999999999998</v>
      </c>
    </row>
    <row r="86" spans="1:22" x14ac:dyDescent="0.25">
      <c r="B86" s="6" t="s">
        <v>0</v>
      </c>
      <c r="C86" s="6">
        <v>2.5369999999999999</v>
      </c>
      <c r="D86" s="6">
        <v>2.3220000000000001</v>
      </c>
      <c r="E86" s="6">
        <v>0.13200000000000001</v>
      </c>
      <c r="F86" s="6">
        <v>0.13900000000000001</v>
      </c>
      <c r="G86" s="6">
        <v>0.13800000000000001</v>
      </c>
      <c r="H86" s="6">
        <v>0.129</v>
      </c>
      <c r="I86" s="6">
        <v>0.18</v>
      </c>
      <c r="J86" s="6">
        <v>0.20399999999999999</v>
      </c>
      <c r="K86" s="6">
        <v>5.7000000000000002E-2</v>
      </c>
      <c r="L86" s="6">
        <v>7.9000000000000001E-2</v>
      </c>
      <c r="M86" s="6">
        <v>0.09</v>
      </c>
      <c r="N86" s="6">
        <v>7.1999999999999995E-2</v>
      </c>
      <c r="Q86" s="1" t="s">
        <v>9</v>
      </c>
      <c r="R86" s="1">
        <v>250</v>
      </c>
      <c r="S86" s="1">
        <f>AVERAGE(C87:D87)</f>
        <v>1.7204999999999999</v>
      </c>
      <c r="U86" s="1">
        <v>250</v>
      </c>
      <c r="V86" s="1">
        <f t="shared" ref="V86:V92" si="36">S86-$S$92</f>
        <v>1.6415</v>
      </c>
    </row>
    <row r="87" spans="1:22" x14ac:dyDescent="0.25">
      <c r="B87" s="6" t="s">
        <v>1</v>
      </c>
      <c r="C87" s="6">
        <v>1.77</v>
      </c>
      <c r="D87" s="6">
        <v>1.671</v>
      </c>
      <c r="E87" s="6">
        <v>0.14499999999999999</v>
      </c>
      <c r="F87" s="6">
        <v>0.14899999999999999</v>
      </c>
      <c r="G87" s="6">
        <v>0.13</v>
      </c>
      <c r="H87" s="6">
        <v>0.14000000000000001</v>
      </c>
      <c r="I87" s="6">
        <v>0.23400000000000001</v>
      </c>
      <c r="J87" s="6">
        <v>0.215</v>
      </c>
      <c r="K87" s="6">
        <v>5.7000000000000002E-2</v>
      </c>
      <c r="L87" s="6">
        <v>5.1999999999999998E-2</v>
      </c>
      <c r="M87" s="6">
        <v>8.2000000000000003E-2</v>
      </c>
      <c r="N87" s="6">
        <v>7.1999999999999995E-2</v>
      </c>
      <c r="Q87" s="1" t="s">
        <v>10</v>
      </c>
      <c r="R87" s="1">
        <v>125</v>
      </c>
      <c r="S87" s="1">
        <f>AVERAGE(C88:D88)</f>
        <v>1.1055000000000001</v>
      </c>
      <c r="U87" s="1">
        <v>125</v>
      </c>
      <c r="V87" s="1">
        <f t="shared" si="36"/>
        <v>1.0265000000000002</v>
      </c>
    </row>
    <row r="88" spans="1:22" x14ac:dyDescent="0.25">
      <c r="B88" s="6" t="s">
        <v>2</v>
      </c>
      <c r="C88" s="6">
        <v>1.167</v>
      </c>
      <c r="D88" s="6">
        <v>1.044</v>
      </c>
      <c r="E88" s="6">
        <v>0.11700000000000001</v>
      </c>
      <c r="F88" s="6">
        <v>0.125</v>
      </c>
      <c r="G88" s="6">
        <v>0.14000000000000001</v>
      </c>
      <c r="H88" s="6">
        <v>0.13100000000000001</v>
      </c>
      <c r="I88" s="6">
        <v>0.27500000000000002</v>
      </c>
      <c r="J88" s="6">
        <v>0.251</v>
      </c>
      <c r="K88" s="6">
        <v>5.8000000000000003E-2</v>
      </c>
      <c r="L88" s="6">
        <v>7.4999999999999997E-2</v>
      </c>
      <c r="M88" s="6">
        <v>0.13500000000000001</v>
      </c>
      <c r="N88" s="6">
        <v>0.107</v>
      </c>
      <c r="Q88" s="1" t="s">
        <v>11</v>
      </c>
      <c r="R88" s="1">
        <v>62.5</v>
      </c>
      <c r="S88" s="1">
        <f t="shared" ref="S88:S91" si="37">AVERAGE(C89:D89)</f>
        <v>0.63400000000000001</v>
      </c>
      <c r="U88" s="1">
        <v>62.5</v>
      </c>
      <c r="V88" s="1">
        <f t="shared" si="36"/>
        <v>0.55500000000000005</v>
      </c>
    </row>
    <row r="89" spans="1:22" x14ac:dyDescent="0.25">
      <c r="A89" s="1" t="s">
        <v>315</v>
      </c>
      <c r="B89" s="6" t="s">
        <v>3</v>
      </c>
      <c r="C89" s="6">
        <v>0.64200000000000002</v>
      </c>
      <c r="D89" s="6">
        <v>0.626</v>
      </c>
      <c r="E89" s="6">
        <v>0.13</v>
      </c>
      <c r="F89" s="6">
        <v>0.11799999999999999</v>
      </c>
      <c r="G89" s="6">
        <v>0.112</v>
      </c>
      <c r="H89" s="6">
        <v>0.13800000000000001</v>
      </c>
      <c r="I89" s="6">
        <v>0.219</v>
      </c>
      <c r="J89" s="6">
        <v>0.22700000000000001</v>
      </c>
      <c r="K89" s="6">
        <v>4.2000000000000003E-2</v>
      </c>
      <c r="L89" s="6">
        <v>6.7000000000000004E-2</v>
      </c>
      <c r="M89" s="6">
        <v>0.09</v>
      </c>
      <c r="N89" s="6">
        <v>6.3E-2</v>
      </c>
      <c r="Q89" s="1" t="s">
        <v>12</v>
      </c>
      <c r="R89" s="1">
        <v>31.3</v>
      </c>
      <c r="S89" s="1">
        <f t="shared" si="37"/>
        <v>0.41699999999999998</v>
      </c>
      <c r="U89" s="1">
        <v>31.3</v>
      </c>
      <c r="V89" s="1">
        <f t="shared" si="36"/>
        <v>0.33799999999999997</v>
      </c>
    </row>
    <row r="90" spans="1:22" x14ac:dyDescent="0.25">
      <c r="B90" s="6" t="s">
        <v>4</v>
      </c>
      <c r="C90" s="6">
        <v>0.40699999999999997</v>
      </c>
      <c r="D90" s="6">
        <v>0.42699999999999999</v>
      </c>
      <c r="E90" s="6">
        <v>0.122</v>
      </c>
      <c r="F90" s="6">
        <v>0.12</v>
      </c>
      <c r="G90" s="6">
        <v>0.16600000000000001</v>
      </c>
      <c r="H90" s="6">
        <v>0.13400000000000001</v>
      </c>
      <c r="I90" s="6">
        <v>0.13</v>
      </c>
      <c r="J90" s="6">
        <v>0.114</v>
      </c>
      <c r="K90" s="6">
        <v>5.7000000000000002E-2</v>
      </c>
      <c r="L90" s="6">
        <v>0.10100000000000001</v>
      </c>
      <c r="M90" s="6">
        <v>0.13900000000000001</v>
      </c>
      <c r="N90" s="6">
        <v>9.0999999999999998E-2</v>
      </c>
      <c r="Q90" s="1" t="s">
        <v>13</v>
      </c>
      <c r="R90" s="1">
        <v>15.6</v>
      </c>
      <c r="S90" s="1">
        <f t="shared" si="37"/>
        <v>0.26300000000000001</v>
      </c>
      <c r="U90" s="1">
        <v>15.6</v>
      </c>
      <c r="V90" s="1">
        <f t="shared" si="36"/>
        <v>0.184</v>
      </c>
    </row>
    <row r="91" spans="1:22" x14ac:dyDescent="0.25">
      <c r="B91" s="6" t="s">
        <v>5</v>
      </c>
      <c r="C91" s="6">
        <v>0.254</v>
      </c>
      <c r="D91" s="6">
        <v>0.27200000000000002</v>
      </c>
      <c r="E91" s="6">
        <v>0.182</v>
      </c>
      <c r="F91" s="6">
        <v>0.13400000000000001</v>
      </c>
      <c r="G91" s="6">
        <v>0.17399999999999999</v>
      </c>
      <c r="H91" s="6">
        <v>0.186</v>
      </c>
      <c r="I91" s="6">
        <v>0.109</v>
      </c>
      <c r="J91" s="6">
        <v>0.109</v>
      </c>
      <c r="K91" s="6">
        <v>0.05</v>
      </c>
      <c r="L91" s="6">
        <v>9.0999999999999998E-2</v>
      </c>
      <c r="M91" s="6">
        <v>0.13500000000000001</v>
      </c>
      <c r="N91" s="6">
        <v>0.13600000000000001</v>
      </c>
      <c r="Q91" s="1" t="s">
        <v>14</v>
      </c>
      <c r="R91" s="1">
        <v>7.8</v>
      </c>
      <c r="S91" s="1">
        <f t="shared" si="37"/>
        <v>0.21750000000000003</v>
      </c>
      <c r="U91" s="1">
        <v>7.8</v>
      </c>
      <c r="V91" s="1">
        <f t="shared" si="36"/>
        <v>0.13850000000000001</v>
      </c>
    </row>
    <row r="92" spans="1:22" x14ac:dyDescent="0.25">
      <c r="B92" s="6" t="s">
        <v>6</v>
      </c>
      <c r="C92" s="6">
        <v>0.23300000000000001</v>
      </c>
      <c r="D92" s="6">
        <v>0.20200000000000001</v>
      </c>
      <c r="E92" s="6">
        <v>0.115</v>
      </c>
      <c r="F92" s="6">
        <v>0.106</v>
      </c>
      <c r="G92" s="6">
        <v>0.17100000000000001</v>
      </c>
      <c r="H92" s="6">
        <v>0.18</v>
      </c>
      <c r="I92" s="6">
        <v>0.123</v>
      </c>
      <c r="J92" s="6">
        <v>0.113</v>
      </c>
      <c r="K92" s="6">
        <v>5.3999999999999999E-2</v>
      </c>
      <c r="L92" s="6">
        <v>6.5000000000000002E-2</v>
      </c>
      <c r="M92" s="6">
        <v>0.113</v>
      </c>
      <c r="N92" s="6">
        <v>7.0999999999999994E-2</v>
      </c>
      <c r="Q92" s="1" t="s">
        <v>15</v>
      </c>
      <c r="R92" s="1">
        <v>0</v>
      </c>
      <c r="S92" s="1">
        <f>AVERAGE(K90:L90)</f>
        <v>7.9000000000000001E-2</v>
      </c>
      <c r="U92" s="1">
        <v>0</v>
      </c>
      <c r="V92" s="1">
        <f t="shared" si="36"/>
        <v>0</v>
      </c>
    </row>
    <row r="93" spans="1:22" x14ac:dyDescent="0.25">
      <c r="B93" s="6" t="s">
        <v>7</v>
      </c>
      <c r="C93" s="6">
        <v>0.14399999999999999</v>
      </c>
      <c r="D93" s="6">
        <v>0.127</v>
      </c>
      <c r="E93" s="6">
        <v>0.11799999999999999</v>
      </c>
      <c r="F93" s="6">
        <v>0.115</v>
      </c>
      <c r="G93" s="6">
        <v>0.11700000000000001</v>
      </c>
      <c r="H93" s="6">
        <v>0.14699999999999999</v>
      </c>
      <c r="I93" s="6">
        <v>0.111</v>
      </c>
      <c r="J93" s="6">
        <v>0.11</v>
      </c>
      <c r="K93" s="6">
        <v>5.5E-2</v>
      </c>
      <c r="L93" s="6">
        <v>5.5E-2</v>
      </c>
      <c r="M93" s="6">
        <v>7.0000000000000007E-2</v>
      </c>
      <c r="N93" s="6">
        <v>6.0999999999999999E-2</v>
      </c>
    </row>
    <row r="95" spans="1:22" x14ac:dyDescent="0.25">
      <c r="B95" s="4" t="s">
        <v>26</v>
      </c>
      <c r="C95" s="1" t="s">
        <v>17</v>
      </c>
      <c r="E95" s="1" t="s">
        <v>28</v>
      </c>
      <c r="I95" s="4" t="s">
        <v>26</v>
      </c>
      <c r="J95" s="1" t="s">
        <v>17</v>
      </c>
      <c r="L95" s="1" t="s">
        <v>28</v>
      </c>
      <c r="O95" s="4"/>
    </row>
    <row r="96" spans="1:22" x14ac:dyDescent="0.25">
      <c r="B96" s="4" t="s">
        <v>120</v>
      </c>
      <c r="C96" s="1">
        <f>AVERAGE(E86:F86)</f>
        <v>0.13550000000000001</v>
      </c>
      <c r="E96" s="1">
        <f>(C96-0.1038)/0.0103</f>
        <v>3.0776699029126218</v>
      </c>
      <c r="H96" s="1" t="s">
        <v>20</v>
      </c>
      <c r="I96" s="4" t="s">
        <v>130</v>
      </c>
      <c r="J96" s="1">
        <f>AVERAGE(G88:H88)</f>
        <v>0.13550000000000001</v>
      </c>
      <c r="L96" s="1">
        <f>2*(J96-0.1038)/0.0103</f>
        <v>6.1553398058252435</v>
      </c>
      <c r="O96" s="4"/>
    </row>
    <row r="97" spans="1:15" x14ac:dyDescent="0.25">
      <c r="B97" s="4" t="s">
        <v>121</v>
      </c>
      <c r="C97" s="1">
        <f t="shared" ref="C97:C102" si="38">AVERAGE(E87:F87)</f>
        <v>0.14699999999999999</v>
      </c>
      <c r="E97" s="1">
        <f t="shared" ref="E97:E103" si="39">(C97-0.1038)/0.0103</f>
        <v>4.1941747572815524</v>
      </c>
      <c r="H97" s="1" t="s">
        <v>20</v>
      </c>
      <c r="I97" s="4" t="s">
        <v>131</v>
      </c>
      <c r="J97" s="1">
        <f t="shared" ref="J97:J101" si="40">AVERAGE(G89:H89)</f>
        <v>0.125</v>
      </c>
      <c r="L97" s="1">
        <f>3*(J97-0.1038)/0.0103</f>
        <v>6.1747572815533971</v>
      </c>
      <c r="O97" s="4"/>
    </row>
    <row r="98" spans="1:15" x14ac:dyDescent="0.25">
      <c r="B98" s="4" t="s">
        <v>122</v>
      </c>
      <c r="C98" s="1">
        <f>AVERAGE(E88:F88)</f>
        <v>0.121</v>
      </c>
      <c r="E98" s="1">
        <f t="shared" si="39"/>
        <v>1.6699029126213585</v>
      </c>
      <c r="H98" s="1" t="s">
        <v>20</v>
      </c>
      <c r="I98" s="4" t="s">
        <v>132</v>
      </c>
      <c r="J98" s="1">
        <f t="shared" si="40"/>
        <v>0.15000000000000002</v>
      </c>
      <c r="L98" s="1">
        <f t="shared" ref="L98:L99" si="41">2*(J98-0.1038)/0.0103</f>
        <v>8.9708737864077701</v>
      </c>
      <c r="O98" s="4"/>
    </row>
    <row r="99" spans="1:15" x14ac:dyDescent="0.25">
      <c r="A99" s="1" t="s">
        <v>20</v>
      </c>
      <c r="B99" s="4" t="s">
        <v>123</v>
      </c>
      <c r="C99" s="1">
        <f t="shared" si="38"/>
        <v>0.124</v>
      </c>
      <c r="E99" s="1">
        <f>2*(C99-0.1038)/0.0103</f>
        <v>3.9223300970873778</v>
      </c>
      <c r="H99" s="1" t="s">
        <v>20</v>
      </c>
      <c r="I99" s="4" t="s">
        <v>133</v>
      </c>
      <c r="J99" s="1">
        <f t="shared" si="40"/>
        <v>0.18</v>
      </c>
      <c r="L99" s="1">
        <f t="shared" si="41"/>
        <v>14.796116504854366</v>
      </c>
      <c r="O99" s="4"/>
    </row>
    <row r="100" spans="1:15" x14ac:dyDescent="0.25">
      <c r="A100" s="1" t="s">
        <v>20</v>
      </c>
      <c r="B100" s="4" t="s">
        <v>124</v>
      </c>
      <c r="C100" s="1">
        <f t="shared" si="38"/>
        <v>0.121</v>
      </c>
      <c r="E100" s="1">
        <f>2*(C100-0.1038)/0.0103</f>
        <v>3.339805825242717</v>
      </c>
      <c r="I100" s="4" t="s">
        <v>134</v>
      </c>
      <c r="J100" s="1">
        <f>AVERAGE(G92:H92)</f>
        <v>0.17549999999999999</v>
      </c>
      <c r="L100" s="1">
        <f>(J100-0.1038)/0.0103</f>
        <v>6.9611650485436876</v>
      </c>
      <c r="O100" s="4"/>
    </row>
    <row r="101" spans="1:15" x14ac:dyDescent="0.25">
      <c r="B101" s="4" t="s">
        <v>125</v>
      </c>
      <c r="C101" s="1">
        <f t="shared" si="38"/>
        <v>0.158</v>
      </c>
      <c r="E101" s="1">
        <f t="shared" si="39"/>
        <v>5.2621359223300965</v>
      </c>
      <c r="I101" s="4" t="s">
        <v>135</v>
      </c>
      <c r="J101" s="1">
        <f t="shared" si="40"/>
        <v>0.13200000000000001</v>
      </c>
      <c r="L101" s="1">
        <f>3*(J101-0.1038)/0.0103</f>
        <v>8.2135922330097095</v>
      </c>
      <c r="O101" s="4"/>
    </row>
    <row r="102" spans="1:15" x14ac:dyDescent="0.25">
      <c r="A102" s="1" t="s">
        <v>20</v>
      </c>
      <c r="B102" s="4" t="s">
        <v>126</v>
      </c>
      <c r="C102" s="1">
        <f t="shared" si="38"/>
        <v>0.1105</v>
      </c>
      <c r="E102" s="1">
        <f>2*(C102-0.1038)/0.0103</f>
        <v>1.3009708737864072</v>
      </c>
      <c r="I102" s="4" t="s">
        <v>136</v>
      </c>
      <c r="J102" s="1">
        <f>AVERAGE(I86:J86)</f>
        <v>0.192</v>
      </c>
      <c r="L102" s="1">
        <f t="shared" ref="L102:L104" si="42">(J102-0.1038)/0.0103</f>
        <v>8.5631067961165055</v>
      </c>
      <c r="O102" s="4"/>
    </row>
    <row r="103" spans="1:15" x14ac:dyDescent="0.25">
      <c r="B103" s="4" t="s">
        <v>127</v>
      </c>
      <c r="C103" s="1">
        <f>AVERAGE(E93:F93)</f>
        <v>0.11649999999999999</v>
      </c>
      <c r="E103" s="1">
        <f t="shared" si="39"/>
        <v>1.2330097087378631</v>
      </c>
      <c r="I103" s="4" t="s">
        <v>137</v>
      </c>
      <c r="J103" s="1">
        <f t="shared" ref="J103" si="43">AVERAGE(I87:J87)</f>
        <v>0.22450000000000001</v>
      </c>
      <c r="L103" s="1">
        <f t="shared" si="42"/>
        <v>11.718446601941748</v>
      </c>
      <c r="O103" s="4"/>
    </row>
    <row r="104" spans="1:15" x14ac:dyDescent="0.25">
      <c r="A104" s="1" t="s">
        <v>20</v>
      </c>
      <c r="B104" s="4" t="s">
        <v>128</v>
      </c>
      <c r="C104" s="1">
        <f>AVERAGE(G86:H86)</f>
        <v>0.13350000000000001</v>
      </c>
      <c r="E104" s="1">
        <f>2*(C104-0.1038)/0.0103</f>
        <v>5.7669902912621369</v>
      </c>
      <c r="I104" s="4" t="s">
        <v>138</v>
      </c>
      <c r="J104" s="1">
        <f>AVERAGE(I88:J88)</f>
        <v>0.26300000000000001</v>
      </c>
      <c r="L104" s="1">
        <f t="shared" si="42"/>
        <v>15.456310679611651</v>
      </c>
      <c r="O104" s="4"/>
    </row>
    <row r="105" spans="1:15" x14ac:dyDescent="0.25">
      <c r="B105" s="4" t="s">
        <v>129</v>
      </c>
      <c r="C105" s="1">
        <f>AVERAGE(G87:H87)</f>
        <v>0.13500000000000001</v>
      </c>
      <c r="E105" s="1">
        <f>(C105-0.1038)/0.0103</f>
        <v>3.0291262135922334</v>
      </c>
      <c r="I105" s="4" t="s">
        <v>139</v>
      </c>
      <c r="J105" s="1">
        <f>AVERAGE(I89:J89)</f>
        <v>0.223</v>
      </c>
      <c r="L105" s="1">
        <f>(J105-0.1038)/0.0103</f>
        <v>11.572815533980583</v>
      </c>
      <c r="O105" s="4"/>
    </row>
    <row r="107" spans="1:15" x14ac:dyDescent="0.25">
      <c r="D107" s="1" t="s">
        <v>16</v>
      </c>
      <c r="E107" s="1">
        <f>AVERAGE(E96:E105)</f>
        <v>3.2796116504854367</v>
      </c>
      <c r="K107" s="1" t="s">
        <v>16</v>
      </c>
      <c r="L107" s="1">
        <f>AVERAGE(L96:L105)</f>
        <v>9.8582524271844658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0BFD-CA19-43EB-B685-AC25562D352C}">
  <dimension ref="A1:AG192"/>
  <sheetViews>
    <sheetView workbookViewId="0">
      <selection activeCell="E5" sqref="A1:XFD1048576"/>
    </sheetView>
  </sheetViews>
  <sheetFormatPr defaultRowHeight="15" x14ac:dyDescent="0.25"/>
  <cols>
    <col min="1" max="1" width="22.42578125" style="1" customWidth="1"/>
    <col min="2" max="2" width="13.7109375" style="1" bestFit="1" customWidth="1"/>
    <col min="3" max="5" width="9.140625" style="1"/>
    <col min="6" max="6" width="9.140625" style="1" customWidth="1"/>
    <col min="7" max="7" width="13.42578125" style="1" customWidth="1"/>
    <col min="8" max="16384" width="9.140625" style="1"/>
  </cols>
  <sheetData>
    <row r="1" spans="1:20" x14ac:dyDescent="0.25">
      <c r="A1" s="4" t="s">
        <v>26</v>
      </c>
      <c r="B1" s="1" t="s">
        <v>316</v>
      </c>
    </row>
    <row r="2" spans="1:20" x14ac:dyDescent="0.25">
      <c r="A2" s="4" t="s">
        <v>29</v>
      </c>
      <c r="B2" s="1">
        <v>3.1666666666666603</v>
      </c>
    </row>
    <row r="3" spans="1:20" x14ac:dyDescent="0.25">
      <c r="A3" s="4" t="s">
        <v>30</v>
      </c>
      <c r="B3" s="1">
        <v>5.8333333333333197</v>
      </c>
      <c r="K3" s="1" t="s">
        <v>140</v>
      </c>
      <c r="R3" s="1" t="s">
        <v>141</v>
      </c>
    </row>
    <row r="4" spans="1:20" x14ac:dyDescent="0.25">
      <c r="A4" s="4" t="s">
        <v>31</v>
      </c>
      <c r="B4" s="1">
        <v>0</v>
      </c>
      <c r="H4" s="1">
        <v>0</v>
      </c>
      <c r="I4" s="1">
        <v>1</v>
      </c>
      <c r="J4" s="1">
        <v>2</v>
      </c>
      <c r="K4" s="1">
        <v>6</v>
      </c>
      <c r="L4" s="1">
        <v>12</v>
      </c>
      <c r="M4" s="1">
        <v>24</v>
      </c>
      <c r="O4" s="1">
        <v>0</v>
      </c>
      <c r="P4" s="1">
        <v>1</v>
      </c>
      <c r="Q4" s="1">
        <v>2</v>
      </c>
      <c r="R4" s="1">
        <v>6</v>
      </c>
      <c r="S4" s="1">
        <v>12</v>
      </c>
      <c r="T4" s="1">
        <v>24</v>
      </c>
    </row>
    <row r="5" spans="1:20" x14ac:dyDescent="0.25">
      <c r="A5" s="4" t="s">
        <v>32</v>
      </c>
      <c r="B5" s="1">
        <v>8.8333333333333233</v>
      </c>
      <c r="H5" s="1">
        <v>3.1666666666666603</v>
      </c>
      <c r="I5" s="1">
        <v>10.766666666666667</v>
      </c>
      <c r="J5" s="1">
        <v>3.979166666666667</v>
      </c>
      <c r="K5" s="1">
        <v>0.5972222222222201</v>
      </c>
      <c r="L5" s="1">
        <v>4.8076923076923093</v>
      </c>
      <c r="M5" s="1">
        <v>3.0776699029126218</v>
      </c>
      <c r="O5" s="1">
        <v>3.1666666666666603</v>
      </c>
      <c r="P5" s="1">
        <v>0.26666666666666777</v>
      </c>
      <c r="Q5" s="1">
        <v>2.1249999999999956</v>
      </c>
      <c r="R5" s="1">
        <v>38.03846153846154</v>
      </c>
      <c r="S5" s="1">
        <v>4.4999999999999982</v>
      </c>
      <c r="T5" s="1">
        <v>6.1553398058252435</v>
      </c>
    </row>
    <row r="6" spans="1:20" x14ac:dyDescent="0.25">
      <c r="A6" s="4" t="s">
        <v>33</v>
      </c>
      <c r="B6" s="1">
        <v>8.8333333333333233</v>
      </c>
      <c r="H6" s="1">
        <v>5.8333333333333197</v>
      </c>
      <c r="I6" s="1">
        <v>1.5999999999999979</v>
      </c>
      <c r="J6" s="1">
        <v>5.2986111111111107</v>
      </c>
      <c r="K6" s="1">
        <v>2.9374999999999996</v>
      </c>
      <c r="L6" s="1">
        <v>2.8365384615384603</v>
      </c>
      <c r="M6" s="1">
        <v>4.1941747572815524</v>
      </c>
      <c r="O6" s="1">
        <v>5.8333333333333197</v>
      </c>
      <c r="P6" s="1">
        <v>2.7666666666666653</v>
      </c>
      <c r="Q6" s="1">
        <v>1.7777777777777728</v>
      </c>
      <c r="R6" s="1">
        <v>37.480769230769226</v>
      </c>
      <c r="S6" s="1">
        <v>17.72115384615385</v>
      </c>
      <c r="T6" s="1">
        <v>6.1747572815533971</v>
      </c>
    </row>
    <row r="7" spans="1:20" x14ac:dyDescent="0.25">
      <c r="A7" s="4" t="s">
        <v>34</v>
      </c>
      <c r="B7" s="1">
        <v>0</v>
      </c>
      <c r="H7" s="1">
        <v>0</v>
      </c>
      <c r="I7" s="1">
        <v>1.0999999999999972</v>
      </c>
      <c r="J7" s="1">
        <v>2.5555555555555545</v>
      </c>
      <c r="K7" s="1">
        <v>1.3402777777777757</v>
      </c>
      <c r="L7" s="1">
        <v>5.4807692307692335</v>
      </c>
      <c r="M7" s="1">
        <v>1.6699029126213585</v>
      </c>
      <c r="O7" s="1">
        <v>0</v>
      </c>
      <c r="P7" s="1">
        <v>1.4333333333333309</v>
      </c>
      <c r="Q7" s="1">
        <v>1.8958333333333317</v>
      </c>
      <c r="R7" s="1">
        <v>41.884615384615394</v>
      </c>
      <c r="S7" s="1">
        <v>22.75</v>
      </c>
      <c r="T7" s="1">
        <v>8.9708737864077701</v>
      </c>
    </row>
    <row r="8" spans="1:20" x14ac:dyDescent="0.25">
      <c r="A8" s="4" t="s">
        <v>35</v>
      </c>
      <c r="B8" s="1">
        <v>0</v>
      </c>
      <c r="H8" s="1">
        <v>8.8333333333333233</v>
      </c>
      <c r="I8" s="1">
        <v>1.2666666666666639</v>
      </c>
      <c r="J8" s="1">
        <v>4.694444444444442</v>
      </c>
      <c r="K8" s="1">
        <v>3.4444444444444411</v>
      </c>
      <c r="L8" s="1">
        <v>3.3173076923076916</v>
      </c>
      <c r="M8" s="1">
        <v>3.9223300970873778</v>
      </c>
      <c r="O8" s="1">
        <v>8.8333333333333233</v>
      </c>
      <c r="P8" s="1">
        <v>2.0999999999999983</v>
      </c>
      <c r="Q8" s="1">
        <v>8.8055555555555536</v>
      </c>
      <c r="R8" s="1">
        <v>15.846153846153845</v>
      </c>
      <c r="S8" s="1">
        <v>5.6057692307692299</v>
      </c>
      <c r="T8" s="1">
        <v>14.796116504854366</v>
      </c>
    </row>
    <row r="9" spans="1:20" x14ac:dyDescent="0.25">
      <c r="A9" s="4" t="s">
        <v>36</v>
      </c>
      <c r="B9" s="1">
        <v>0</v>
      </c>
      <c r="H9" s="1">
        <v>8.8333333333333233</v>
      </c>
      <c r="I9" s="1">
        <v>5.0999999999999961</v>
      </c>
      <c r="J9" s="1">
        <v>4.3472222222222197</v>
      </c>
      <c r="K9" s="1">
        <v>0.92361111111110872</v>
      </c>
      <c r="L9" s="1">
        <v>4.9038461538461542</v>
      </c>
      <c r="M9" s="1">
        <v>3.339805825242717</v>
      </c>
      <c r="O9" s="1">
        <v>8.8333333333333233</v>
      </c>
      <c r="P9" s="1">
        <v>1.7666666666666646</v>
      </c>
      <c r="Q9" s="1">
        <v>3.5972222222222223</v>
      </c>
      <c r="R9" s="1">
        <v>11.038461538461538</v>
      </c>
      <c r="S9" s="1">
        <v>5.5096153846153841</v>
      </c>
      <c r="T9" s="1">
        <v>6.9611650485436876</v>
      </c>
    </row>
    <row r="10" spans="1:20" x14ac:dyDescent="0.25">
      <c r="A10" s="4" t="s">
        <v>37</v>
      </c>
      <c r="B10" s="1">
        <v>4.4999999999999991</v>
      </c>
      <c r="H10" s="1">
        <v>0</v>
      </c>
      <c r="I10" s="1">
        <v>4.5999999999999961</v>
      </c>
      <c r="J10" s="1">
        <v>-0.18750000000000153</v>
      </c>
      <c r="K10" s="1">
        <v>1.6874999999999982</v>
      </c>
      <c r="L10" s="1">
        <v>4.1346153846153841</v>
      </c>
      <c r="M10" s="1">
        <v>5.2621359223300965</v>
      </c>
      <c r="O10" s="1">
        <v>0</v>
      </c>
      <c r="P10" s="1">
        <v>2.0999999999999983</v>
      </c>
      <c r="Q10" s="1">
        <v>3.2847222222222219</v>
      </c>
      <c r="R10" s="1">
        <v>31.69230769230769</v>
      </c>
      <c r="S10" s="1">
        <v>7.9423076923076934</v>
      </c>
      <c r="T10" s="1">
        <v>8.2135922330097095</v>
      </c>
    </row>
    <row r="11" spans="1:20" x14ac:dyDescent="0.25">
      <c r="A11" s="4" t="s">
        <v>38</v>
      </c>
      <c r="B11" s="1">
        <v>5.3333333333333197</v>
      </c>
      <c r="H11" s="1">
        <v>0</v>
      </c>
      <c r="I11" s="1">
        <v>2.5999999999999988</v>
      </c>
      <c r="J11" s="1">
        <v>1.2361111111111089</v>
      </c>
      <c r="K11" s="1">
        <v>5.4583333333333321</v>
      </c>
      <c r="L11" s="1">
        <v>3.6538461538461546</v>
      </c>
      <c r="M11" s="1">
        <v>1.3009708737864072</v>
      </c>
      <c r="O11" s="1">
        <v>0</v>
      </c>
      <c r="P11" s="1">
        <v>1.7666666666666646</v>
      </c>
      <c r="Q11" s="1">
        <v>2.333333333333329</v>
      </c>
      <c r="R11" s="1">
        <v>26.567307692307693</v>
      </c>
      <c r="S11" s="1">
        <v>20.990384615384613</v>
      </c>
      <c r="T11" s="1">
        <v>8.5631067961165055</v>
      </c>
    </row>
    <row r="12" spans="1:20" x14ac:dyDescent="0.25">
      <c r="A12" s="4" t="s">
        <v>39</v>
      </c>
      <c r="B12" s="1">
        <v>10.766666666666667</v>
      </c>
      <c r="H12" s="1">
        <v>0</v>
      </c>
      <c r="I12" s="1">
        <v>3.4333333333333327</v>
      </c>
      <c r="J12" s="1">
        <v>3.2847222222222219</v>
      </c>
      <c r="K12" s="1">
        <v>3.8402777777777781</v>
      </c>
      <c r="L12" s="1">
        <v>6.1057692307692299</v>
      </c>
      <c r="M12" s="1">
        <v>1.2330097087378631</v>
      </c>
      <c r="O12" s="1">
        <v>0</v>
      </c>
      <c r="P12" s="1">
        <v>13.599999999999994</v>
      </c>
      <c r="Q12" s="1">
        <v>24.430555555555554</v>
      </c>
      <c r="R12" s="1">
        <v>27.480769230769226</v>
      </c>
      <c r="S12" s="1">
        <v>21.21153846153846</v>
      </c>
      <c r="T12" s="1">
        <v>11.718446601941748</v>
      </c>
    </row>
    <row r="13" spans="1:20" x14ac:dyDescent="0.25">
      <c r="A13" s="4" t="s">
        <v>40</v>
      </c>
      <c r="B13" s="1">
        <v>1.5999999999999979</v>
      </c>
      <c r="H13" s="1">
        <v>4.4999999999999991</v>
      </c>
      <c r="I13" s="1">
        <v>1.4333333333333309</v>
      </c>
      <c r="J13" s="1">
        <v>1.9861111111111063</v>
      </c>
      <c r="K13" s="1">
        <v>-0.36111111111111277</v>
      </c>
      <c r="L13" s="1">
        <v>-1.3344026738283132E-15</v>
      </c>
      <c r="M13" s="1">
        <v>5.7669902912621369</v>
      </c>
      <c r="O13" s="1">
        <v>4.4999999999999991</v>
      </c>
      <c r="P13" s="1">
        <v>8.5999999999999979</v>
      </c>
      <c r="Q13" s="1">
        <v>24.361111111111114</v>
      </c>
      <c r="R13" s="1">
        <v>13.53846153846154</v>
      </c>
      <c r="S13" s="1">
        <v>17.942307692307697</v>
      </c>
      <c r="T13" s="1">
        <v>15.456310679611651</v>
      </c>
    </row>
    <row r="14" spans="1:20" x14ac:dyDescent="0.25">
      <c r="A14" s="4" t="s">
        <v>41</v>
      </c>
      <c r="B14" s="1">
        <v>1.0999999999999972</v>
      </c>
      <c r="H14" s="1">
        <v>5.3333333333333197</v>
      </c>
      <c r="I14" s="1">
        <v>2.2666666666666604</v>
      </c>
      <c r="J14" s="1">
        <v>0.64583333333333259</v>
      </c>
      <c r="K14" s="1">
        <v>4.5694444444444438</v>
      </c>
      <c r="L14" s="1">
        <v>2.067307692307693</v>
      </c>
      <c r="M14" s="1">
        <v>3.0291262135922334</v>
      </c>
      <c r="O14" s="1">
        <v>5.3333333333333197</v>
      </c>
      <c r="P14" s="1">
        <v>0.59999999999999676</v>
      </c>
      <c r="Q14" s="1">
        <v>10.923611111111114</v>
      </c>
      <c r="R14" s="1">
        <v>23.92307692307693</v>
      </c>
      <c r="S14" s="1">
        <v>15.05769230769231</v>
      </c>
      <c r="T14" s="1">
        <v>11.572815533980583</v>
      </c>
    </row>
    <row r="15" spans="1:20" x14ac:dyDescent="0.25">
      <c r="A15" s="4" t="s">
        <v>42</v>
      </c>
      <c r="B15" s="1">
        <v>1.2666666666666639</v>
      </c>
    </row>
    <row r="16" spans="1:20" x14ac:dyDescent="0.25">
      <c r="A16" s="4" t="s">
        <v>43</v>
      </c>
      <c r="B16" s="1">
        <v>5.0999999999999961</v>
      </c>
      <c r="G16" s="1" t="s">
        <v>142</v>
      </c>
      <c r="H16" s="1">
        <f>AVERAGE(H5:H14)</f>
        <v>3.649999999999995</v>
      </c>
      <c r="I16" s="1">
        <f>AVERAGE(I5:I14)</f>
        <v>3.4166666666666634</v>
      </c>
      <c r="J16" s="1">
        <f t="shared" ref="J16:M16" si="0">AVERAGE(J5:J14)</f>
        <v>2.784027777777776</v>
      </c>
      <c r="K16" s="1">
        <f t="shared" si="0"/>
        <v>2.4437499999999983</v>
      </c>
      <c r="L16" s="1">
        <f t="shared" si="0"/>
        <v>3.7307692307692308</v>
      </c>
      <c r="M16" s="1">
        <f t="shared" si="0"/>
        <v>3.2796116504854367</v>
      </c>
      <c r="N16" s="1" t="s">
        <v>142</v>
      </c>
      <c r="O16" s="1">
        <f>AVERAGE(O5:O14)</f>
        <v>3.649999999999995</v>
      </c>
      <c r="P16" s="1">
        <f>AVERAGE(P5:P14)</f>
        <v>3.4999999999999973</v>
      </c>
      <c r="Q16" s="1">
        <f t="shared" ref="Q16:T16" si="1">AVERAGE(Q5:Q14)</f>
        <v>8.3534722222222193</v>
      </c>
      <c r="R16" s="1">
        <f t="shared" si="1"/>
        <v>26.749038461538458</v>
      </c>
      <c r="S16" s="1">
        <f t="shared" si="1"/>
        <v>13.923076923076923</v>
      </c>
      <c r="T16" s="1">
        <f t="shared" si="1"/>
        <v>9.8582524271844658</v>
      </c>
    </row>
    <row r="17" spans="1:20" x14ac:dyDescent="0.25">
      <c r="A17" s="4" t="s">
        <v>44</v>
      </c>
      <c r="B17" s="1">
        <v>4.5999999999999961</v>
      </c>
      <c r="G17" s="1" t="s">
        <v>143</v>
      </c>
      <c r="H17" s="1">
        <f>STDEV(H5:H14)</f>
        <v>3.5836132534939158</v>
      </c>
      <c r="I17" s="1">
        <f>STDEV(I5:I14)</f>
        <v>2.9338909402673314</v>
      </c>
      <c r="J17" s="1">
        <f t="shared" ref="J17:M17" si="2">STDEV(J5:J14)</f>
        <v>1.8433730956743319</v>
      </c>
      <c r="K17" s="1">
        <f t="shared" si="2"/>
        <v>1.890886204592287</v>
      </c>
      <c r="L17" s="1">
        <f t="shared" si="2"/>
        <v>1.797045387185003</v>
      </c>
      <c r="M17" s="1">
        <f t="shared" si="2"/>
        <v>1.5694611772863103</v>
      </c>
      <c r="N17" s="1" t="s">
        <v>143</v>
      </c>
      <c r="O17" s="1">
        <f>STDEV(O5:O14)</f>
        <v>3.5836132534939158</v>
      </c>
      <c r="P17" s="1">
        <f>STDEV(P5:P14)</f>
        <v>4.2376909622290793</v>
      </c>
      <c r="Q17" s="1">
        <f t="shared" ref="Q17:T17" si="3">STDEV(Q5:Q14)</f>
        <v>9.0050482205381979</v>
      </c>
      <c r="R17" s="1">
        <f t="shared" si="3"/>
        <v>10.775031299960199</v>
      </c>
      <c r="S17" s="1">
        <f t="shared" si="3"/>
        <v>7.2829935739203213</v>
      </c>
      <c r="T17" s="1">
        <f t="shared" si="3"/>
        <v>3.382362269889871</v>
      </c>
    </row>
    <row r="18" spans="1:20" x14ac:dyDescent="0.25">
      <c r="A18" s="4" t="s">
        <v>45</v>
      </c>
      <c r="B18" s="1">
        <v>2.5999999999999988</v>
      </c>
    </row>
    <row r="19" spans="1:20" x14ac:dyDescent="0.25">
      <c r="A19" s="4" t="s">
        <v>46</v>
      </c>
      <c r="B19" s="1">
        <v>3.4333333333333327</v>
      </c>
      <c r="G19" s="1" t="s">
        <v>144</v>
      </c>
      <c r="H19" s="1">
        <f>(H5-$H$16)/$H$17</f>
        <v>-0.13487318500736628</v>
      </c>
      <c r="I19" s="1">
        <f>(I5-$I$16)/$I$17</f>
        <v>2.5052055954507577</v>
      </c>
      <c r="J19" s="1">
        <f>(J5-$J$16)/$J$17</f>
        <v>0.64834345889793532</v>
      </c>
      <c r="K19" s="1">
        <f>(K5-$K$16)/$K$17</f>
        <v>-0.97654093265539832</v>
      </c>
      <c r="L19" s="1">
        <f>(L5-$L$16)/$L$17</f>
        <v>0.59927427799140554</v>
      </c>
      <c r="M19" s="1">
        <f>(M5-$M$16)/$M$17</f>
        <v>-0.12866947618416655</v>
      </c>
      <c r="N19" s="1" t="s">
        <v>144</v>
      </c>
      <c r="O19" s="1">
        <f>(O5-$O$16)/$O$17</f>
        <v>-0.13487318500736628</v>
      </c>
      <c r="P19" s="1">
        <f>(P5-$P$16)/$P$17</f>
        <v>-0.762994131037945</v>
      </c>
      <c r="Q19" s="1">
        <f>(Q5-$Q$16)/$Q$17</f>
        <v>-0.69166450525125245</v>
      </c>
      <c r="R19" s="1">
        <f>(R5-$R$16)/$R$17</f>
        <v>1.0477392373760235</v>
      </c>
      <c r="S19" s="1">
        <f>(S5-$S$16)/$S$17</f>
        <v>-1.2938466617381115</v>
      </c>
      <c r="T19" s="1">
        <f>(T5-$T$16)/$T$17</f>
        <v>-1.0947711468765255</v>
      </c>
    </row>
    <row r="20" spans="1:20" x14ac:dyDescent="0.25">
      <c r="A20" s="4" t="s">
        <v>47</v>
      </c>
      <c r="B20" s="1">
        <v>1.4333333333333309</v>
      </c>
      <c r="H20" s="1">
        <f t="shared" ref="H20:H28" si="4">(H6-$H$16)/$H$17</f>
        <v>0.60925473227465043</v>
      </c>
      <c r="I20" s="1">
        <f t="shared" ref="I20:I28" si="5">(I6-$I$16)/$I$17</f>
        <v>-0.61920047597308914</v>
      </c>
      <c r="J20" s="1">
        <f t="shared" ref="J20:J28" si="6">(J6-$J$16)/$J$17</f>
        <v>1.3641206651187803</v>
      </c>
      <c r="K20" s="1">
        <f t="shared" ref="K20:K28" si="7">(K6-$K$16)/$K$17</f>
        <v>0.26112094889732596</v>
      </c>
      <c r="L20" s="1">
        <f t="shared" ref="L20:L28" si="8">(L6-$L$16)/$L$17</f>
        <v>-0.49761167726072064</v>
      </c>
      <c r="M20" s="1">
        <f t="shared" ref="M20:M28" si="9">(M6-$M$16)/$M$17</f>
        <v>0.58272426233406327</v>
      </c>
      <c r="O20" s="1">
        <f t="shared" ref="O20:O28" si="10">(O6-$O$16)/$O$17</f>
        <v>0.60925473227465043</v>
      </c>
      <c r="P20" s="1">
        <f t="shared" ref="P20:P28" si="11">(P6-$P$16)/$P$17</f>
        <v>-0.17305021528695652</v>
      </c>
      <c r="Q20" s="1">
        <f t="shared" ref="Q20:Q28" si="12">(Q6-$Q$16)/$Q$17</f>
        <v>-0.73022312411908896</v>
      </c>
      <c r="R20" s="1">
        <f t="shared" ref="R20:R28" si="13">(R6-$R$16)/$R$17</f>
        <v>0.99598140093295229</v>
      </c>
      <c r="S20" s="1">
        <f t="shared" ref="S20:S28" si="14">(S6-$S$16)/$S$17</f>
        <v>0.52149941978219838</v>
      </c>
      <c r="T20" s="1">
        <f t="shared" ref="T20:T28" si="15">(T6-$T$16)/$T$17</f>
        <v>-1.0890303437990403</v>
      </c>
    </row>
    <row r="21" spans="1:20" x14ac:dyDescent="0.25">
      <c r="A21" s="4" t="s">
        <v>48</v>
      </c>
      <c r="B21" s="1">
        <v>2.2666666666666604</v>
      </c>
      <c r="H21" s="1">
        <f t="shared" si="4"/>
        <v>-1.0185250867797617</v>
      </c>
      <c r="I21" s="1">
        <f t="shared" si="5"/>
        <v>-0.78962262532348104</v>
      </c>
      <c r="J21" s="1">
        <f t="shared" si="6"/>
        <v>-0.12394247412981969</v>
      </c>
      <c r="K21" s="1">
        <f t="shared" si="7"/>
        <v>-0.58357410379444463</v>
      </c>
      <c r="L21" s="1">
        <f t="shared" si="8"/>
        <v>0.97382070173603408</v>
      </c>
      <c r="M21" s="1">
        <f t="shared" si="9"/>
        <v>-1.0256441899680235</v>
      </c>
      <c r="O21" s="1">
        <f t="shared" si="10"/>
        <v>-1.0185250867797617</v>
      </c>
      <c r="P21" s="1">
        <f t="shared" si="11"/>
        <v>-0.48768697035415098</v>
      </c>
      <c r="Q21" s="1">
        <f t="shared" si="12"/>
        <v>-0.71711319370402415</v>
      </c>
      <c r="R21" s="1">
        <f t="shared" si="13"/>
        <v>1.4046898335351325</v>
      </c>
      <c r="S21" s="1">
        <f t="shared" si="14"/>
        <v>1.2119910566077408</v>
      </c>
      <c r="T21" s="1">
        <f t="shared" si="15"/>
        <v>-0.26235470064109617</v>
      </c>
    </row>
    <row r="22" spans="1:20" x14ac:dyDescent="0.25">
      <c r="A22" s="4" t="s">
        <v>50</v>
      </c>
      <c r="B22" s="1">
        <v>0.26666666666666777</v>
      </c>
      <c r="H22" s="1">
        <f t="shared" si="4"/>
        <v>1.4463986392169226</v>
      </c>
      <c r="I22" s="1">
        <f t="shared" si="5"/>
        <v>-0.7328152422066837</v>
      </c>
      <c r="J22" s="1">
        <f t="shared" si="6"/>
        <v>1.0363700496387078</v>
      </c>
      <c r="K22" s="1">
        <f t="shared" si="7"/>
        <v>0.52921981344732094</v>
      </c>
      <c r="L22" s="1">
        <f t="shared" si="8"/>
        <v>-0.23007851744312902</v>
      </c>
      <c r="M22" s="1">
        <f t="shared" si="9"/>
        <v>0.40951535208614637</v>
      </c>
      <c r="O22" s="1">
        <f t="shared" si="10"/>
        <v>1.4463986392169226</v>
      </c>
      <c r="P22" s="1">
        <f t="shared" si="11"/>
        <v>-0.3303685928205537</v>
      </c>
      <c r="Q22" s="1">
        <f t="shared" si="12"/>
        <v>5.0203321765923313E-2</v>
      </c>
      <c r="R22" s="1">
        <f t="shared" si="13"/>
        <v>-1.0118657024620323</v>
      </c>
      <c r="S22" s="1">
        <f t="shared" si="14"/>
        <v>-1.1420177167382308</v>
      </c>
      <c r="T22" s="1">
        <f t="shared" si="15"/>
        <v>1.4598862226046165</v>
      </c>
    </row>
    <row r="23" spans="1:20" x14ac:dyDescent="0.25">
      <c r="A23" s="4" t="s">
        <v>51</v>
      </c>
      <c r="B23" s="1">
        <v>2.7666666666666653</v>
      </c>
      <c r="H23" s="1">
        <f t="shared" si="4"/>
        <v>1.4463986392169226</v>
      </c>
      <c r="I23" s="1">
        <f t="shared" si="5"/>
        <v>0.57375456947965153</v>
      </c>
      <c r="J23" s="1">
        <f t="shared" si="6"/>
        <v>0.84800762694901166</v>
      </c>
      <c r="K23" s="1">
        <f t="shared" si="7"/>
        <v>-0.80392933493142815</v>
      </c>
      <c r="L23" s="1">
        <f t="shared" si="8"/>
        <v>0.65278090995492311</v>
      </c>
      <c r="M23" s="1">
        <f t="shared" si="9"/>
        <v>3.8353401554895111E-2</v>
      </c>
      <c r="O23" s="1">
        <f t="shared" si="10"/>
        <v>1.4463986392169226</v>
      </c>
      <c r="P23" s="1">
        <f t="shared" si="11"/>
        <v>-0.40902778158735231</v>
      </c>
      <c r="Q23" s="1">
        <f t="shared" si="12"/>
        <v>-0.52817596125162491</v>
      </c>
      <c r="R23" s="1">
        <f t="shared" si="13"/>
        <v>-1.4580539476609178</v>
      </c>
      <c r="S23" s="1">
        <f t="shared" si="14"/>
        <v>-1.1552202336947424</v>
      </c>
      <c r="T23" s="1">
        <f t="shared" si="15"/>
        <v>-0.85652781916086917</v>
      </c>
    </row>
    <row r="24" spans="1:20" x14ac:dyDescent="0.25">
      <c r="A24" s="4" t="s">
        <v>52</v>
      </c>
      <c r="B24" s="1">
        <v>1.4333333333333309</v>
      </c>
      <c r="H24" s="1">
        <f t="shared" si="4"/>
        <v>-1.0185250867797617</v>
      </c>
      <c r="I24" s="1">
        <f t="shared" si="5"/>
        <v>0.40333242012925991</v>
      </c>
      <c r="J24" s="1">
        <f t="shared" si="6"/>
        <v>-1.6120056133784195</v>
      </c>
      <c r="K24" s="1">
        <f t="shared" si="7"/>
        <v>-0.39994474451362488</v>
      </c>
      <c r="L24" s="1">
        <f t="shared" si="8"/>
        <v>0.22472785424677647</v>
      </c>
      <c r="M24" s="1">
        <f t="shared" si="9"/>
        <v>1.2631878383080235</v>
      </c>
      <c r="O24" s="1">
        <f t="shared" si="10"/>
        <v>-1.0185250867797617</v>
      </c>
      <c r="P24" s="1">
        <f t="shared" si="11"/>
        <v>-0.3303685928205537</v>
      </c>
      <c r="Q24" s="1">
        <f t="shared" si="12"/>
        <v>-0.56287871823267788</v>
      </c>
      <c r="R24" s="1">
        <f t="shared" si="13"/>
        <v>0.45877075371349424</v>
      </c>
      <c r="S24" s="1">
        <f t="shared" si="14"/>
        <v>-0.82119655469500508</v>
      </c>
      <c r="T24" s="1">
        <f t="shared" si="15"/>
        <v>-0.48624602066303979</v>
      </c>
    </row>
    <row r="25" spans="1:20" x14ac:dyDescent="0.25">
      <c r="A25" s="4" t="s">
        <v>53</v>
      </c>
      <c r="B25" s="1">
        <v>2.0999999999999983</v>
      </c>
      <c r="H25" s="1">
        <f t="shared" si="4"/>
        <v>-1.0185250867797617</v>
      </c>
      <c r="I25" s="1">
        <f t="shared" si="5"/>
        <v>-0.2783561772723056</v>
      </c>
      <c r="J25" s="1">
        <f t="shared" si="6"/>
        <v>-0.83971968035066569</v>
      </c>
      <c r="K25" s="1">
        <f t="shared" si="7"/>
        <v>1.594270097276075</v>
      </c>
      <c r="L25" s="1">
        <f t="shared" si="8"/>
        <v>-4.2805305570814224E-2</v>
      </c>
      <c r="M25" s="1">
        <f t="shared" si="9"/>
        <v>-1.2607134253044823</v>
      </c>
      <c r="O25" s="1">
        <f t="shared" si="10"/>
        <v>-1.0185250867797617</v>
      </c>
      <c r="P25" s="1">
        <f t="shared" si="11"/>
        <v>-0.40902778158735231</v>
      </c>
      <c r="Q25" s="1">
        <f t="shared" si="12"/>
        <v>-0.66852933393055047</v>
      </c>
      <c r="R25" s="1">
        <f t="shared" si="13"/>
        <v>-1.6865915668517421E-2</v>
      </c>
      <c r="S25" s="1">
        <f t="shared" si="14"/>
        <v>0.97038499630358299</v>
      </c>
      <c r="T25" s="1">
        <f t="shared" si="15"/>
        <v>-0.38291156526829695</v>
      </c>
    </row>
    <row r="26" spans="1:20" x14ac:dyDescent="0.25">
      <c r="A26" s="4" t="s">
        <v>54</v>
      </c>
      <c r="B26" s="1">
        <v>1.7666666666666646</v>
      </c>
      <c r="H26" s="1">
        <f t="shared" si="4"/>
        <v>-1.0185250867797617</v>
      </c>
      <c r="I26" s="1">
        <f t="shared" si="5"/>
        <v>5.6807383116806078E-3</v>
      </c>
      <c r="J26" s="1">
        <f t="shared" si="6"/>
        <v>0.27161861351854266</v>
      </c>
      <c r="K26" s="1">
        <f t="shared" si="7"/>
        <v>0.73855728302745705</v>
      </c>
      <c r="L26" s="1">
        <f t="shared" si="8"/>
        <v>1.3216138094989009</v>
      </c>
      <c r="M26" s="1">
        <f t="shared" si="9"/>
        <v>-1.3040156528664617</v>
      </c>
      <c r="O26" s="1">
        <f t="shared" si="10"/>
        <v>-1.0185250867797617</v>
      </c>
      <c r="P26" s="1">
        <f t="shared" si="11"/>
        <v>2.3833734196339957</v>
      </c>
      <c r="Q26" s="1">
        <f t="shared" si="12"/>
        <v>1.7853411708185687</v>
      </c>
      <c r="R26" s="1">
        <f t="shared" si="13"/>
        <v>6.790985091927032E-2</v>
      </c>
      <c r="S26" s="1">
        <f t="shared" si="14"/>
        <v>1.0007507853035591</v>
      </c>
      <c r="T26" s="1">
        <f t="shared" si="15"/>
        <v>0.54996893482313169</v>
      </c>
    </row>
    <row r="27" spans="1:20" x14ac:dyDescent="0.25">
      <c r="A27" s="4" t="s">
        <v>55</v>
      </c>
      <c r="B27" s="1">
        <v>2.0999999999999983</v>
      </c>
      <c r="H27" s="1">
        <f t="shared" si="4"/>
        <v>0.23719077363364463</v>
      </c>
      <c r="I27" s="1">
        <f t="shared" si="5"/>
        <v>-0.67600785908988636</v>
      </c>
      <c r="J27" s="1">
        <f t="shared" si="6"/>
        <v>-0.43285684734092339</v>
      </c>
      <c r="K27" s="1">
        <f t="shared" si="7"/>
        <v>-1.48335796427046</v>
      </c>
      <c r="L27" s="1">
        <f t="shared" si="8"/>
        <v>-2.0760573201845101</v>
      </c>
      <c r="M27" s="1">
        <f t="shared" si="9"/>
        <v>1.5848615287684418</v>
      </c>
      <c r="O27" s="1">
        <f t="shared" si="10"/>
        <v>0.23719077363364463</v>
      </c>
      <c r="P27" s="1">
        <f t="shared" si="11"/>
        <v>1.2034855881320179</v>
      </c>
      <c r="Q27" s="1">
        <f t="shared" si="12"/>
        <v>1.7776294470450018</v>
      </c>
      <c r="R27" s="1">
        <f t="shared" si="13"/>
        <v>-1.2260360601574971</v>
      </c>
      <c r="S27" s="1">
        <f t="shared" si="14"/>
        <v>0.55186520878217449</v>
      </c>
      <c r="T27" s="1">
        <f t="shared" si="15"/>
        <v>1.6550735272391317</v>
      </c>
    </row>
    <row r="28" spans="1:20" x14ac:dyDescent="0.25">
      <c r="A28" s="4" t="s">
        <v>56</v>
      </c>
      <c r="B28" s="1">
        <v>1.7666666666666646</v>
      </c>
      <c r="H28" s="1">
        <f t="shared" si="4"/>
        <v>0.46973074778427193</v>
      </c>
      <c r="I28" s="1">
        <f t="shared" si="5"/>
        <v>-0.39197094350590173</v>
      </c>
      <c r="J28" s="1">
        <f t="shared" si="6"/>
        <v>-1.1599357989231482</v>
      </c>
      <c r="K28" s="1">
        <f t="shared" si="7"/>
        <v>1.1241789375171776</v>
      </c>
      <c r="L28" s="1">
        <f t="shared" si="8"/>
        <v>-0.92566473296886587</v>
      </c>
      <c r="M28" s="1">
        <f t="shared" si="9"/>
        <v>-0.15959963872843744</v>
      </c>
      <c r="O28" s="1">
        <f t="shared" si="10"/>
        <v>0.46973074778427193</v>
      </c>
      <c r="P28" s="1">
        <f t="shared" si="11"/>
        <v>-0.68433494227114744</v>
      </c>
      <c r="Q28" s="1">
        <f t="shared" si="12"/>
        <v>0.28541089685972693</v>
      </c>
      <c r="R28" s="1">
        <f t="shared" si="13"/>
        <v>-0.2622694505279039</v>
      </c>
      <c r="S28" s="1">
        <f t="shared" si="14"/>
        <v>0.1557897000868341</v>
      </c>
      <c r="T28" s="1">
        <f t="shared" si="15"/>
        <v>0.50691291174198871</v>
      </c>
    </row>
    <row r="29" spans="1:20" x14ac:dyDescent="0.25">
      <c r="A29" s="4" t="s">
        <v>57</v>
      </c>
      <c r="B29" s="1">
        <v>13.599999999999994</v>
      </c>
    </row>
    <row r="30" spans="1:20" x14ac:dyDescent="0.25">
      <c r="A30" s="4" t="s">
        <v>58</v>
      </c>
      <c r="B30" s="1">
        <v>8.5999999999999979</v>
      </c>
    </row>
    <row r="31" spans="1:20" x14ac:dyDescent="0.25">
      <c r="A31" s="4" t="s">
        <v>59</v>
      </c>
      <c r="B31" s="1">
        <v>0.59999999999999676</v>
      </c>
    </row>
    <row r="32" spans="1:20" x14ac:dyDescent="0.25">
      <c r="A32" s="4" t="s">
        <v>60</v>
      </c>
      <c r="B32" s="1">
        <v>3.979166666666667</v>
      </c>
      <c r="F32" s="9" t="s">
        <v>145</v>
      </c>
      <c r="G32" s="10"/>
      <c r="H32" s="10"/>
      <c r="I32" s="10"/>
      <c r="J32" s="10"/>
      <c r="K32" s="10" t="s">
        <v>140</v>
      </c>
      <c r="L32" s="10"/>
      <c r="M32" s="10"/>
      <c r="N32" s="10"/>
      <c r="O32" s="10"/>
      <c r="P32" s="10"/>
      <c r="Q32" s="10"/>
      <c r="R32" s="10" t="s">
        <v>141</v>
      </c>
      <c r="S32" s="10"/>
      <c r="T32" s="11"/>
    </row>
    <row r="33" spans="1:20" x14ac:dyDescent="0.25">
      <c r="A33" s="4" t="s">
        <v>61</v>
      </c>
      <c r="B33" s="1">
        <v>5.2986111111111107</v>
      </c>
      <c r="F33" s="12"/>
      <c r="H33" s="1">
        <v>0</v>
      </c>
      <c r="I33" s="1">
        <v>1</v>
      </c>
      <c r="J33" s="1">
        <v>2</v>
      </c>
      <c r="K33" s="1">
        <v>6</v>
      </c>
      <c r="L33" s="1">
        <v>12</v>
      </c>
      <c r="M33" s="1">
        <v>24</v>
      </c>
      <c r="O33" s="1">
        <v>0</v>
      </c>
      <c r="P33" s="1">
        <v>1</v>
      </c>
      <c r="Q33" s="1">
        <v>2</v>
      </c>
      <c r="R33" s="1">
        <v>6</v>
      </c>
      <c r="S33" s="1">
        <v>12</v>
      </c>
      <c r="T33" s="13">
        <v>24</v>
      </c>
    </row>
    <row r="34" spans="1:20" x14ac:dyDescent="0.25">
      <c r="A34" s="4" t="s">
        <v>62</v>
      </c>
      <c r="B34" s="1">
        <v>2.5555555555555545</v>
      </c>
      <c r="F34" s="12"/>
      <c r="H34" s="1">
        <v>3.1666666666666603</v>
      </c>
      <c r="J34" s="1">
        <v>3.979166666666667</v>
      </c>
      <c r="K34" s="1">
        <v>0.5972222222222201</v>
      </c>
      <c r="L34" s="1">
        <v>4.8076923076923093</v>
      </c>
      <c r="M34" s="1">
        <v>3.0776699029126218</v>
      </c>
      <c r="O34" s="1">
        <v>3.1666666666666603</v>
      </c>
      <c r="P34" s="1">
        <v>0.26666666666666777</v>
      </c>
      <c r="Q34" s="1">
        <v>2.1249999999999956</v>
      </c>
      <c r="R34" s="1">
        <v>38.03846153846154</v>
      </c>
      <c r="S34" s="1">
        <v>4.5</v>
      </c>
      <c r="T34" s="1">
        <v>6.1553398058252435</v>
      </c>
    </row>
    <row r="35" spans="1:20" x14ac:dyDescent="0.25">
      <c r="A35" s="4" t="s">
        <v>63</v>
      </c>
      <c r="B35" s="1">
        <v>4.694444444444442</v>
      </c>
      <c r="F35" s="12"/>
      <c r="H35" s="1">
        <v>5.8333333333333197</v>
      </c>
      <c r="I35" s="1">
        <v>1.5999999999999979</v>
      </c>
      <c r="J35" s="1">
        <v>5.2986111111111107</v>
      </c>
      <c r="K35" s="1">
        <v>2.9374999999999996</v>
      </c>
      <c r="L35" s="1">
        <v>2.8365384615384603</v>
      </c>
      <c r="M35" s="1">
        <v>4.1941747572815524</v>
      </c>
      <c r="O35" s="1">
        <v>5.8333333333333197</v>
      </c>
      <c r="P35" s="1">
        <v>2.7666666666666653</v>
      </c>
      <c r="Q35" s="1">
        <v>1.7777777777777728</v>
      </c>
      <c r="R35" s="1">
        <v>37.480769230769226</v>
      </c>
      <c r="S35" s="1">
        <v>17.72115384615385</v>
      </c>
      <c r="T35" s="1">
        <v>6.1747572815533971</v>
      </c>
    </row>
    <row r="36" spans="1:20" x14ac:dyDescent="0.25">
      <c r="A36" s="4" t="s">
        <v>64</v>
      </c>
      <c r="B36" s="1">
        <v>4.3472222222222197</v>
      </c>
      <c r="F36" s="12"/>
      <c r="H36" s="1">
        <v>0</v>
      </c>
      <c r="I36" s="1">
        <v>1.0999999999999972</v>
      </c>
      <c r="J36" s="1">
        <v>2.5555555555555545</v>
      </c>
      <c r="K36" s="1">
        <v>1.3402777777777757</v>
      </c>
      <c r="L36" s="1">
        <v>5.4807692307692335</v>
      </c>
      <c r="M36" s="1">
        <v>1.6699029126213585</v>
      </c>
      <c r="O36" s="1">
        <v>0</v>
      </c>
      <c r="P36" s="1">
        <v>1.4333333333333309</v>
      </c>
      <c r="Q36" s="1">
        <v>1.8958333333333317</v>
      </c>
      <c r="R36" s="1">
        <v>41.884615384615394</v>
      </c>
      <c r="S36" s="1">
        <v>22.75</v>
      </c>
      <c r="T36" s="1">
        <v>8.9708737864077701</v>
      </c>
    </row>
    <row r="37" spans="1:20" x14ac:dyDescent="0.25">
      <c r="A37" s="4" t="s">
        <v>65</v>
      </c>
      <c r="B37" s="1">
        <v>-0.18750000000000153</v>
      </c>
      <c r="F37" s="12"/>
      <c r="H37" s="1">
        <v>8.8333333333333233</v>
      </c>
      <c r="I37" s="1">
        <v>1.2666666666666639</v>
      </c>
      <c r="J37" s="1">
        <v>4.694444444444442</v>
      </c>
      <c r="K37" s="1">
        <v>3.4444444444444411</v>
      </c>
      <c r="L37" s="1">
        <v>3.3173076923076916</v>
      </c>
      <c r="M37" s="1">
        <v>3.9223300970873778</v>
      </c>
      <c r="O37" s="1">
        <v>8.8333333333333233</v>
      </c>
      <c r="P37" s="1">
        <v>2.0999999999999983</v>
      </c>
      <c r="Q37" s="1">
        <v>8.8055555555555536</v>
      </c>
      <c r="R37" s="1">
        <v>15.846153846153845</v>
      </c>
      <c r="S37" s="1">
        <v>5.6057692307692299</v>
      </c>
      <c r="T37" s="1">
        <v>14.796116504854366</v>
      </c>
    </row>
    <row r="38" spans="1:20" x14ac:dyDescent="0.25">
      <c r="A38" s="4" t="s">
        <v>66</v>
      </c>
      <c r="B38" s="1">
        <v>1.2361111111111089</v>
      </c>
      <c r="F38" s="12"/>
      <c r="H38" s="1">
        <v>8.8333333333333233</v>
      </c>
      <c r="I38" s="1">
        <v>5.0999999999999961</v>
      </c>
      <c r="J38" s="1">
        <v>4.3472222222222197</v>
      </c>
      <c r="K38" s="1">
        <v>0.92361111111110872</v>
      </c>
      <c r="L38" s="1">
        <v>4.9038461538461542</v>
      </c>
      <c r="M38" s="1">
        <v>3.339805825242717</v>
      </c>
      <c r="O38" s="1">
        <v>8.8333333333333233</v>
      </c>
      <c r="P38" s="1">
        <v>1.7666666666666646</v>
      </c>
      <c r="Q38" s="1">
        <v>3.5972222222222223</v>
      </c>
      <c r="R38" s="1">
        <v>11.038461538461538</v>
      </c>
      <c r="S38" s="1">
        <v>5.5096153846153797</v>
      </c>
      <c r="T38" s="1">
        <v>6.9611650485436876</v>
      </c>
    </row>
    <row r="39" spans="1:20" x14ac:dyDescent="0.25">
      <c r="A39" s="4" t="s">
        <v>67</v>
      </c>
      <c r="B39" s="1">
        <v>3.2847222222222219</v>
      </c>
      <c r="F39" s="12"/>
      <c r="H39" s="1">
        <v>0</v>
      </c>
      <c r="I39" s="1">
        <v>4.5999999999999961</v>
      </c>
      <c r="J39" s="1">
        <v>-0.18750000000000153</v>
      </c>
      <c r="K39" s="1">
        <v>1.6874999999999982</v>
      </c>
      <c r="L39" s="1">
        <v>4.1346153846153841</v>
      </c>
      <c r="M39" s="1">
        <v>5.2621359223300965</v>
      </c>
      <c r="O39" s="1">
        <v>0</v>
      </c>
      <c r="P39" s="1">
        <v>2.0999999999999983</v>
      </c>
      <c r="Q39" s="1">
        <v>3.2847222222222219</v>
      </c>
      <c r="R39" s="1">
        <v>31.69230769230769</v>
      </c>
      <c r="S39" s="1">
        <v>7.9423076923076934</v>
      </c>
      <c r="T39" s="1">
        <v>8.2135922330097095</v>
      </c>
    </row>
    <row r="40" spans="1:20" x14ac:dyDescent="0.25">
      <c r="A40" s="4" t="s">
        <v>68</v>
      </c>
      <c r="B40" s="1">
        <v>1.9861111111111063</v>
      </c>
      <c r="F40" s="12"/>
      <c r="H40" s="1">
        <v>0</v>
      </c>
      <c r="I40" s="1">
        <v>2.5999999999999988</v>
      </c>
      <c r="J40" s="1">
        <v>1.2361111111111089</v>
      </c>
      <c r="K40" s="1">
        <v>5.4583333333333321</v>
      </c>
      <c r="L40" s="1">
        <v>3.6538461538461546</v>
      </c>
      <c r="M40" s="1">
        <v>1.3009708737864072</v>
      </c>
      <c r="O40" s="1">
        <v>0</v>
      </c>
      <c r="P40" s="1">
        <v>1.7666666666666646</v>
      </c>
      <c r="Q40" s="1">
        <v>2.333333333333329</v>
      </c>
      <c r="R40" s="1">
        <v>26.567307692307693</v>
      </c>
      <c r="S40" s="1">
        <v>20.990384615384613</v>
      </c>
      <c r="T40" s="1">
        <v>8.5631067961165055</v>
      </c>
    </row>
    <row r="41" spans="1:20" x14ac:dyDescent="0.25">
      <c r="A41" s="4" t="s">
        <v>69</v>
      </c>
      <c r="B41" s="1">
        <v>0.64583333333333259</v>
      </c>
      <c r="F41" s="12"/>
      <c r="H41" s="1">
        <v>0</v>
      </c>
      <c r="I41" s="1">
        <v>3.4333333333333327</v>
      </c>
      <c r="J41" s="1">
        <v>3.2847222222222219</v>
      </c>
      <c r="K41" s="1">
        <v>3.8402777777777781</v>
      </c>
      <c r="L41" s="1">
        <v>6.1057692307692299</v>
      </c>
      <c r="M41" s="1">
        <v>1.2330097087378631</v>
      </c>
      <c r="O41" s="1">
        <v>0</v>
      </c>
      <c r="Q41" s="1">
        <v>24.430555555555554</v>
      </c>
      <c r="R41" s="1">
        <v>27.480769230769226</v>
      </c>
      <c r="S41" s="1">
        <v>21.21153846153846</v>
      </c>
      <c r="T41" s="1">
        <v>11.718446601941748</v>
      </c>
    </row>
    <row r="42" spans="1:20" x14ac:dyDescent="0.25">
      <c r="A42" s="4" t="s">
        <v>70</v>
      </c>
      <c r="B42" s="1">
        <v>2.1249999999999956</v>
      </c>
      <c r="F42" s="12"/>
      <c r="H42" s="1">
        <v>4.4999999999999991</v>
      </c>
      <c r="I42" s="1">
        <v>1.4333333333333309</v>
      </c>
      <c r="J42" s="1">
        <v>1.9861111111111063</v>
      </c>
      <c r="K42" s="1">
        <v>-0.36111111111111277</v>
      </c>
      <c r="L42" s="1">
        <v>-1.3344026738283132E-15</v>
      </c>
      <c r="M42" s="1">
        <v>5.7669902912621369</v>
      </c>
      <c r="O42" s="1">
        <v>4.4999999999999991</v>
      </c>
      <c r="P42" s="1">
        <v>8.5999999999999979</v>
      </c>
      <c r="Q42" s="1">
        <v>24.361111111111114</v>
      </c>
      <c r="R42" s="1">
        <v>13.53846153846154</v>
      </c>
      <c r="S42" s="1">
        <v>17.942307692307697</v>
      </c>
      <c r="T42" s="1">
        <v>15.456310679611651</v>
      </c>
    </row>
    <row r="43" spans="1:20" x14ac:dyDescent="0.25">
      <c r="A43" s="4" t="s">
        <v>71</v>
      </c>
      <c r="B43" s="1">
        <v>1.7777777777777728</v>
      </c>
      <c r="F43" s="14"/>
      <c r="G43" s="15"/>
      <c r="H43" s="15">
        <v>5.3333333333333197</v>
      </c>
      <c r="I43" s="15">
        <v>2.2666666666666604</v>
      </c>
      <c r="J43" s="15">
        <v>0.64583333333333259</v>
      </c>
      <c r="K43" s="15">
        <v>4.5694444444444438</v>
      </c>
      <c r="L43" s="15">
        <v>2.067307692307693</v>
      </c>
      <c r="M43" s="1">
        <v>3.0291262135922334</v>
      </c>
      <c r="N43" s="15"/>
      <c r="O43" s="15">
        <v>5.3333333333333197</v>
      </c>
      <c r="P43" s="15">
        <v>0.59999999999999676</v>
      </c>
      <c r="Q43" s="15">
        <v>10.923611111111114</v>
      </c>
      <c r="R43" s="15">
        <v>23.92307692307693</v>
      </c>
      <c r="S43" s="15">
        <v>15.05769230769231</v>
      </c>
      <c r="T43" s="1">
        <v>11.572815533980583</v>
      </c>
    </row>
    <row r="44" spans="1:20" x14ac:dyDescent="0.25">
      <c r="A44" s="4" t="s">
        <v>72</v>
      </c>
      <c r="B44" s="1">
        <v>1.8958333333333317</v>
      </c>
    </row>
    <row r="45" spans="1:20" x14ac:dyDescent="0.25">
      <c r="A45" s="4" t="s">
        <v>73</v>
      </c>
      <c r="B45" s="1">
        <v>8.8055555555555536</v>
      </c>
      <c r="G45" s="1" t="s">
        <v>142</v>
      </c>
      <c r="H45" s="1">
        <f>AVERAGE(H34:H43)</f>
        <v>3.649999999999995</v>
      </c>
      <c r="I45" s="1">
        <f>AVERAGE(I34:I43)</f>
        <v>2.5999999999999974</v>
      </c>
      <c r="J45" s="1">
        <f t="shared" ref="J45:M45" si="16">AVERAGE(J34:J43)</f>
        <v>2.784027777777776</v>
      </c>
      <c r="K45" s="1">
        <f t="shared" si="16"/>
        <v>2.4437499999999983</v>
      </c>
      <c r="L45" s="1">
        <f t="shared" si="16"/>
        <v>3.7307692307692308</v>
      </c>
      <c r="M45" s="1">
        <f t="shared" si="16"/>
        <v>3.2796116504854367</v>
      </c>
      <c r="N45" s="1" t="s">
        <v>142</v>
      </c>
      <c r="O45" s="1">
        <f>AVERAGE(O34:O43)</f>
        <v>3.649999999999995</v>
      </c>
      <c r="P45" s="1">
        <f>AVERAGE(P34:P43)</f>
        <v>2.377777777777776</v>
      </c>
      <c r="Q45" s="1">
        <f t="shared" ref="Q45:T45" si="17">AVERAGE(Q34:Q43)</f>
        <v>8.3534722222222193</v>
      </c>
      <c r="R45" s="1">
        <f t="shared" si="17"/>
        <v>26.749038461538458</v>
      </c>
      <c r="S45" s="1">
        <f t="shared" si="17"/>
        <v>13.923076923076923</v>
      </c>
      <c r="T45" s="1">
        <f t="shared" si="17"/>
        <v>9.8582524271844658</v>
      </c>
    </row>
    <row r="46" spans="1:20" x14ac:dyDescent="0.25">
      <c r="A46" s="4" t="s">
        <v>74</v>
      </c>
      <c r="B46" s="1">
        <v>3.5972222222222223</v>
      </c>
      <c r="G46" s="1" t="s">
        <v>143</v>
      </c>
      <c r="H46" s="1">
        <f>STDEV(H34:H43)</f>
        <v>3.5836132534939158</v>
      </c>
      <c r="I46" s="1">
        <f>STDEV(I34:I43)</f>
        <v>1.4766704288891122</v>
      </c>
      <c r="J46" s="1">
        <f t="shared" ref="J46:M46" si="18">STDEV(J34:J43)</f>
        <v>1.8433730956743319</v>
      </c>
      <c r="K46" s="1">
        <f t="shared" si="18"/>
        <v>1.890886204592287</v>
      </c>
      <c r="L46" s="1">
        <f t="shared" si="18"/>
        <v>1.797045387185003</v>
      </c>
      <c r="M46" s="1">
        <f t="shared" si="18"/>
        <v>1.5694611772863103</v>
      </c>
      <c r="N46" s="1" t="s">
        <v>143</v>
      </c>
      <c r="O46" s="1">
        <f>STDEV(O34:O43)</f>
        <v>3.5836132534939158</v>
      </c>
      <c r="P46" s="1">
        <f>STDEV(P34:P43)</f>
        <v>2.4565671621639456</v>
      </c>
      <c r="Q46" s="1">
        <f t="shared" ref="Q46:T46" si="19">STDEV(Q34:Q43)</f>
        <v>9.0050482205381979</v>
      </c>
      <c r="R46" s="1">
        <f t="shared" si="19"/>
        <v>10.775031299960199</v>
      </c>
      <c r="S46" s="1">
        <f t="shared" si="19"/>
        <v>7.2829935739203213</v>
      </c>
      <c r="T46" s="1">
        <f t="shared" si="19"/>
        <v>3.382362269889871</v>
      </c>
    </row>
    <row r="47" spans="1:20" x14ac:dyDescent="0.25">
      <c r="A47" s="4" t="s">
        <v>75</v>
      </c>
      <c r="B47" s="1">
        <v>3.2847222222222219</v>
      </c>
    </row>
    <row r="48" spans="1:20" x14ac:dyDescent="0.25">
      <c r="A48" s="4" t="s">
        <v>76</v>
      </c>
      <c r="B48" s="1">
        <v>2.333333333333329</v>
      </c>
      <c r="G48" s="1" t="s">
        <v>19</v>
      </c>
      <c r="H48" s="1">
        <f>H46/SQRT(10)</f>
        <v>1.1332380134207132</v>
      </c>
      <c r="I48" s="1">
        <f>I46/SQRT(9)</f>
        <v>0.4922234762963707</v>
      </c>
      <c r="J48" s="1">
        <f t="shared" ref="J48:T48" si="20">J46/SQRT(10)</f>
        <v>0.58292575598063678</v>
      </c>
      <c r="K48" s="1">
        <f t="shared" si="20"/>
        <v>0.5979507202702764</v>
      </c>
      <c r="L48" s="1">
        <f t="shared" si="20"/>
        <v>0.56827564822037702</v>
      </c>
      <c r="M48" s="1">
        <f t="shared" si="20"/>
        <v>0.49630720194340627</v>
      </c>
      <c r="O48" s="1">
        <f t="shared" si="20"/>
        <v>1.1332380134207132</v>
      </c>
      <c r="P48" s="1">
        <f>P46/SQRT(9)</f>
        <v>0.81885572072131518</v>
      </c>
      <c r="Q48" s="1">
        <f t="shared" si="20"/>
        <v>2.8476462816546957</v>
      </c>
      <c r="R48" s="1">
        <f t="shared" si="20"/>
        <v>3.4073640767479185</v>
      </c>
      <c r="S48" s="1">
        <f t="shared" si="20"/>
        <v>2.3030847877958096</v>
      </c>
      <c r="T48" s="1">
        <f t="shared" si="20"/>
        <v>1.0695968644669149</v>
      </c>
    </row>
    <row r="49" spans="1:21" x14ac:dyDescent="0.25">
      <c r="A49" s="4" t="s">
        <v>77</v>
      </c>
      <c r="B49" s="1">
        <v>24.430555555555554</v>
      </c>
    </row>
    <row r="50" spans="1:21" x14ac:dyDescent="0.25">
      <c r="A50" s="4" t="s">
        <v>78</v>
      </c>
      <c r="B50" s="1">
        <v>24.361111111111114</v>
      </c>
      <c r="T50" s="1" t="s">
        <v>146</v>
      </c>
    </row>
    <row r="51" spans="1:21" ht="18.75" x14ac:dyDescent="0.3">
      <c r="A51" s="4" t="s">
        <v>79</v>
      </c>
      <c r="B51" s="1">
        <v>10.923611111111114</v>
      </c>
      <c r="L51" s="1" t="s">
        <v>140</v>
      </c>
      <c r="M51" s="1" t="s">
        <v>141</v>
      </c>
      <c r="Q51" s="16" t="s">
        <v>147</v>
      </c>
      <c r="T51" s="1" t="s">
        <v>140</v>
      </c>
      <c r="U51" s="1" t="s">
        <v>141</v>
      </c>
    </row>
    <row r="52" spans="1:21" x14ac:dyDescent="0.25">
      <c r="A52" s="4" t="s">
        <v>80</v>
      </c>
      <c r="B52" s="1">
        <v>0.5972222222222201</v>
      </c>
      <c r="K52" s="1">
        <v>0</v>
      </c>
      <c r="L52" s="1">
        <f>H45</f>
        <v>3.649999999999995</v>
      </c>
      <c r="M52" s="1">
        <f>O45</f>
        <v>3.649999999999995</v>
      </c>
      <c r="Q52" s="1">
        <f t="shared" ref="Q52:Q57" si="21">M52/L52</f>
        <v>1</v>
      </c>
      <c r="T52" s="1">
        <v>1.1332380134207132</v>
      </c>
      <c r="U52" s="1">
        <v>1.1332380134207132</v>
      </c>
    </row>
    <row r="53" spans="1:21" x14ac:dyDescent="0.25">
      <c r="A53" s="4" t="s">
        <v>81</v>
      </c>
      <c r="B53" s="1">
        <v>2.9374999999999996</v>
      </c>
      <c r="K53" s="1">
        <v>1</v>
      </c>
      <c r="L53" s="1">
        <f>I45</f>
        <v>2.5999999999999974</v>
      </c>
      <c r="M53" s="1">
        <f>P45</f>
        <v>2.377777777777776</v>
      </c>
      <c r="Q53" s="1">
        <f t="shared" si="21"/>
        <v>0.91452991452991472</v>
      </c>
      <c r="T53" s="1">
        <v>0.4922234762963707</v>
      </c>
      <c r="U53" s="1">
        <v>0.81885572072131518</v>
      </c>
    </row>
    <row r="54" spans="1:21" x14ac:dyDescent="0.25">
      <c r="A54" s="4" t="s">
        <v>82</v>
      </c>
      <c r="B54" s="1">
        <v>1.3402777777777757</v>
      </c>
      <c r="K54" s="1">
        <v>2</v>
      </c>
      <c r="L54" s="1">
        <f>J45</f>
        <v>2.784027777777776</v>
      </c>
      <c r="M54" s="1">
        <f>Q45</f>
        <v>8.3534722222222193</v>
      </c>
      <c r="Q54" s="1">
        <f t="shared" si="21"/>
        <v>3.0004988775255685</v>
      </c>
      <c r="T54" s="1">
        <v>0.58292575598063678</v>
      </c>
      <c r="U54" s="1">
        <v>2.8476462816546957</v>
      </c>
    </row>
    <row r="55" spans="1:21" x14ac:dyDescent="0.25">
      <c r="A55" s="4" t="s">
        <v>83</v>
      </c>
      <c r="B55" s="1">
        <v>3.4444444444444411</v>
      </c>
      <c r="K55" s="1">
        <v>6</v>
      </c>
      <c r="L55" s="1">
        <f>K45</f>
        <v>2.4437499999999983</v>
      </c>
      <c r="M55" s="1">
        <f>R45</f>
        <v>26.749038461538458</v>
      </c>
      <c r="Q55" s="1">
        <f t="shared" si="21"/>
        <v>10.945898091678149</v>
      </c>
      <c r="T55" s="1">
        <v>0.5979507202702764</v>
      </c>
      <c r="U55" s="1">
        <v>3.4073640767479185</v>
      </c>
    </row>
    <row r="56" spans="1:21" x14ac:dyDescent="0.25">
      <c r="A56" s="4" t="s">
        <v>84</v>
      </c>
      <c r="B56" s="1">
        <v>0.92361111111110872</v>
      </c>
      <c r="K56" s="1">
        <v>12</v>
      </c>
      <c r="L56" s="1">
        <f>L45</f>
        <v>3.7307692307692308</v>
      </c>
      <c r="M56" s="1">
        <f>S45</f>
        <v>13.923076923076923</v>
      </c>
      <c r="Q56" s="1">
        <f t="shared" si="21"/>
        <v>3.731958762886598</v>
      </c>
      <c r="T56" s="1">
        <v>0.71035540652772489</v>
      </c>
      <c r="U56" s="1">
        <v>2.3030847877958096</v>
      </c>
    </row>
    <row r="57" spans="1:21" x14ac:dyDescent="0.25">
      <c r="A57" s="4" t="s">
        <v>85</v>
      </c>
      <c r="B57" s="1">
        <v>1.6874999999999982</v>
      </c>
      <c r="K57" s="1">
        <v>24</v>
      </c>
      <c r="L57" s="1">
        <f>M45</f>
        <v>3.2796116504854367</v>
      </c>
      <c r="M57" s="1">
        <f>T45</f>
        <v>9.8582524271844658</v>
      </c>
      <c r="Q57" s="1">
        <f t="shared" si="21"/>
        <v>3.005920663114269</v>
      </c>
      <c r="T57" s="1">
        <v>0.54537072414748899</v>
      </c>
      <c r="U57" s="1">
        <v>1.3527003288764898</v>
      </c>
    </row>
    <row r="58" spans="1:21" x14ac:dyDescent="0.25">
      <c r="A58" s="4" t="s">
        <v>86</v>
      </c>
      <c r="B58" s="1">
        <v>5.4583333333333321</v>
      </c>
    </row>
    <row r="59" spans="1:21" x14ac:dyDescent="0.25">
      <c r="A59" s="4" t="s">
        <v>87</v>
      </c>
      <c r="B59" s="1">
        <v>3.8402777777777781</v>
      </c>
    </row>
    <row r="60" spans="1:21" x14ac:dyDescent="0.25">
      <c r="A60" s="4" t="s">
        <v>88</v>
      </c>
      <c r="B60" s="1">
        <v>-0.36111111111111277</v>
      </c>
    </row>
    <row r="61" spans="1:21" x14ac:dyDescent="0.25">
      <c r="A61" s="4" t="s">
        <v>89</v>
      </c>
      <c r="B61" s="1">
        <v>4.5694444444444438</v>
      </c>
    </row>
    <row r="62" spans="1:21" x14ac:dyDescent="0.25">
      <c r="A62" s="4" t="s">
        <v>100</v>
      </c>
      <c r="B62" s="1">
        <v>38.03846153846154</v>
      </c>
    </row>
    <row r="63" spans="1:21" x14ac:dyDescent="0.25">
      <c r="A63" s="4" t="s">
        <v>101</v>
      </c>
      <c r="B63" s="1">
        <v>37.480769230769226</v>
      </c>
    </row>
    <row r="64" spans="1:21" x14ac:dyDescent="0.25">
      <c r="A64" s="4" t="s">
        <v>102</v>
      </c>
      <c r="B64" s="1">
        <v>41.884615384615394</v>
      </c>
      <c r="H64" s="10"/>
      <c r="I64" s="1">
        <v>1</v>
      </c>
      <c r="K64" s="1">
        <v>1.5999999999999979</v>
      </c>
      <c r="L64" s="1">
        <v>1.0999999999999972</v>
      </c>
      <c r="M64" s="1">
        <v>1.2666666666666639</v>
      </c>
      <c r="N64" s="1">
        <v>5.0999999999999961</v>
      </c>
      <c r="O64" s="1">
        <v>4.5999999999999961</v>
      </c>
      <c r="P64" s="1">
        <v>2.5999999999999988</v>
      </c>
      <c r="Q64" s="1">
        <v>3.4333333333333327</v>
      </c>
      <c r="R64" s="1">
        <v>1.4333333333333309</v>
      </c>
      <c r="S64" s="15">
        <v>2.2666666666666604</v>
      </c>
    </row>
    <row r="65" spans="1:19" x14ac:dyDescent="0.25">
      <c r="A65" s="4" t="s">
        <v>103</v>
      </c>
      <c r="B65" s="1">
        <v>15.846153846153845</v>
      </c>
      <c r="H65" s="10"/>
      <c r="I65" s="1">
        <v>2</v>
      </c>
      <c r="J65" s="1">
        <v>3.979166666666667</v>
      </c>
      <c r="K65" s="1">
        <v>5.2986111111111107</v>
      </c>
      <c r="L65" s="1">
        <v>2.5555555555555545</v>
      </c>
      <c r="M65" s="1">
        <v>4.694444444444442</v>
      </c>
      <c r="N65" s="1">
        <v>4.3472222222222197</v>
      </c>
      <c r="O65" s="1">
        <v>-0.18750000000000153</v>
      </c>
      <c r="P65" s="1">
        <v>1.2361111111111089</v>
      </c>
      <c r="Q65" s="1">
        <v>3.2847222222222219</v>
      </c>
      <c r="R65" s="1">
        <v>1.9861111111111063</v>
      </c>
      <c r="S65" s="15">
        <v>0.64583333333333259</v>
      </c>
    </row>
    <row r="66" spans="1:19" x14ac:dyDescent="0.25">
      <c r="A66" s="4" t="s">
        <v>104</v>
      </c>
      <c r="B66" s="1">
        <v>11.038461538461538</v>
      </c>
      <c r="H66" s="10" t="s">
        <v>140</v>
      </c>
      <c r="I66" s="1">
        <v>6</v>
      </c>
      <c r="J66" s="1">
        <v>0.5972222222222201</v>
      </c>
      <c r="K66" s="1">
        <v>2.9374999999999996</v>
      </c>
      <c r="L66" s="1">
        <v>1.3402777777777757</v>
      </c>
      <c r="M66" s="1">
        <v>3.4444444444444411</v>
      </c>
      <c r="N66" s="1">
        <v>0.92361111111110872</v>
      </c>
      <c r="O66" s="1">
        <v>1.6874999999999982</v>
      </c>
      <c r="P66" s="1">
        <v>5.4583333333333321</v>
      </c>
      <c r="Q66" s="1">
        <v>3.8402777777777781</v>
      </c>
      <c r="R66" s="1">
        <v>-0.36111111111111277</v>
      </c>
      <c r="S66" s="15">
        <v>4.5694444444444438</v>
      </c>
    </row>
    <row r="67" spans="1:19" x14ac:dyDescent="0.25">
      <c r="A67" s="4" t="s">
        <v>105</v>
      </c>
      <c r="B67" s="1">
        <v>31.69230769230769</v>
      </c>
      <c r="D67" s="7" t="s">
        <v>148</v>
      </c>
      <c r="H67" s="10"/>
      <c r="I67" s="1">
        <v>12</v>
      </c>
      <c r="J67" s="1">
        <v>4.8076923076923093</v>
      </c>
      <c r="K67" s="1">
        <v>2.8365384615384603</v>
      </c>
      <c r="L67" s="1">
        <v>5.4807692307692335</v>
      </c>
      <c r="M67" s="1">
        <v>3.3173076923076916</v>
      </c>
      <c r="N67" s="1">
        <v>4.9038461538461542</v>
      </c>
      <c r="O67" s="1">
        <v>4.1346153846153841</v>
      </c>
      <c r="P67" s="1">
        <v>3.6538461538461546</v>
      </c>
      <c r="Q67" s="1">
        <v>6.1057692307692299</v>
      </c>
      <c r="R67" s="1">
        <v>-1.3344026738283132E-15</v>
      </c>
      <c r="S67" s="15">
        <v>2.067307692307693</v>
      </c>
    </row>
    <row r="68" spans="1:19" x14ac:dyDescent="0.25">
      <c r="A68" s="4" t="s">
        <v>106</v>
      </c>
      <c r="B68" s="1">
        <v>26.567307692307693</v>
      </c>
      <c r="H68" s="10"/>
      <c r="I68" s="1">
        <v>24</v>
      </c>
      <c r="J68" s="1">
        <v>3.0776699029126218</v>
      </c>
      <c r="K68" s="1">
        <v>4.1941747572815524</v>
      </c>
      <c r="L68" s="1">
        <v>1.6699029126213585</v>
      </c>
      <c r="M68" s="1">
        <v>3.9223300970873778</v>
      </c>
      <c r="N68" s="1">
        <v>3.339805825242717</v>
      </c>
      <c r="O68" s="1">
        <v>5.2621359223300965</v>
      </c>
      <c r="P68" s="1">
        <v>1.3009708737864072</v>
      </c>
      <c r="Q68" s="1">
        <v>1.2330097087378631</v>
      </c>
      <c r="R68" s="1">
        <v>5.7669902912621369</v>
      </c>
      <c r="S68" s="1">
        <v>3.0291262135922334</v>
      </c>
    </row>
    <row r="69" spans="1:19" x14ac:dyDescent="0.25">
      <c r="A69" s="4" t="s">
        <v>107</v>
      </c>
      <c r="B69" s="1">
        <v>27.480769230769226</v>
      </c>
    </row>
    <row r="70" spans="1:19" x14ac:dyDescent="0.25">
      <c r="A70" s="4" t="s">
        <v>108</v>
      </c>
      <c r="B70" s="1">
        <v>13.53846153846154</v>
      </c>
    </row>
    <row r="71" spans="1:19" x14ac:dyDescent="0.25">
      <c r="A71" s="4" t="s">
        <v>109</v>
      </c>
      <c r="B71" s="1">
        <v>23.92307692307693</v>
      </c>
    </row>
    <row r="72" spans="1:19" x14ac:dyDescent="0.25">
      <c r="A72" s="4" t="s">
        <v>110</v>
      </c>
      <c r="B72" s="1">
        <v>4.8076923076923093</v>
      </c>
    </row>
    <row r="73" spans="1:19" x14ac:dyDescent="0.25">
      <c r="A73" s="4" t="s">
        <v>111</v>
      </c>
      <c r="B73" s="1">
        <v>2.8365384615384603</v>
      </c>
      <c r="H73" s="10"/>
      <c r="I73" s="1">
        <v>1</v>
      </c>
      <c r="J73" s="1">
        <v>0.26666666666666777</v>
      </c>
      <c r="K73" s="1">
        <v>2.7666666666666653</v>
      </c>
      <c r="L73" s="1">
        <v>1.4333333333333309</v>
      </c>
      <c r="M73" s="1">
        <v>2.0999999999999983</v>
      </c>
      <c r="N73" s="1">
        <v>1.7666666666666646</v>
      </c>
      <c r="O73" s="1">
        <v>2.0999999999999983</v>
      </c>
      <c r="P73" s="1">
        <v>1.7666666666666646</v>
      </c>
      <c r="R73" s="1">
        <v>8.5999999999999979</v>
      </c>
      <c r="S73" s="15">
        <v>0.59999999999999676</v>
      </c>
    </row>
    <row r="74" spans="1:19" x14ac:dyDescent="0.25">
      <c r="A74" s="4" t="s">
        <v>112</v>
      </c>
      <c r="B74" s="1">
        <v>5.4807692307692335</v>
      </c>
      <c r="H74" s="10"/>
      <c r="I74" s="1">
        <v>2</v>
      </c>
      <c r="J74" s="1">
        <v>2.1249999999999956</v>
      </c>
      <c r="K74" s="1">
        <v>1.7777777777777728</v>
      </c>
      <c r="L74" s="1">
        <v>1.8958333333333317</v>
      </c>
      <c r="M74" s="1">
        <v>8.8055555555555536</v>
      </c>
      <c r="N74" s="1">
        <v>3.5972222222222223</v>
      </c>
      <c r="O74" s="1">
        <v>3.2847222222222219</v>
      </c>
      <c r="P74" s="1">
        <v>2.333333333333329</v>
      </c>
      <c r="Q74" s="1">
        <v>24.430555555555554</v>
      </c>
      <c r="R74" s="1">
        <v>24.361111111111114</v>
      </c>
      <c r="S74" s="15">
        <v>10.923611111111114</v>
      </c>
    </row>
    <row r="75" spans="1:19" x14ac:dyDescent="0.25">
      <c r="A75" s="4" t="s">
        <v>113</v>
      </c>
      <c r="B75" s="1">
        <v>3.3173076923076916</v>
      </c>
      <c r="H75" s="10" t="s">
        <v>141</v>
      </c>
      <c r="I75" s="1">
        <v>6</v>
      </c>
      <c r="J75" s="1">
        <v>38.03846153846154</v>
      </c>
      <c r="K75" s="1">
        <v>37.480769230769226</v>
      </c>
      <c r="L75" s="1">
        <v>41.884615384615394</v>
      </c>
      <c r="M75" s="1">
        <v>15.846153846153845</v>
      </c>
      <c r="N75" s="1">
        <v>11.038461538461538</v>
      </c>
      <c r="O75" s="1">
        <v>31.69230769230769</v>
      </c>
      <c r="P75" s="1">
        <v>26.567307692307693</v>
      </c>
      <c r="Q75" s="1">
        <v>27.480769230769226</v>
      </c>
      <c r="R75" s="1">
        <v>13.53846153846154</v>
      </c>
      <c r="S75" s="15">
        <v>23.92307692307693</v>
      </c>
    </row>
    <row r="76" spans="1:19" x14ac:dyDescent="0.25">
      <c r="A76" s="4" t="s">
        <v>114</v>
      </c>
      <c r="B76" s="1">
        <v>4.9038461538461542</v>
      </c>
      <c r="H76" s="10"/>
      <c r="I76" s="1">
        <v>12</v>
      </c>
      <c r="J76" s="1">
        <v>4.5</v>
      </c>
      <c r="K76" s="1">
        <v>17.72115384615385</v>
      </c>
      <c r="L76" s="1">
        <v>22.75</v>
      </c>
      <c r="M76" s="1">
        <v>5.6057692307692299</v>
      </c>
      <c r="N76" s="1">
        <v>5.5096153846153797</v>
      </c>
      <c r="O76" s="1">
        <v>7.9423076923076934</v>
      </c>
      <c r="P76" s="1">
        <v>20.990384615384613</v>
      </c>
      <c r="Q76" s="1">
        <v>21.21153846153846</v>
      </c>
      <c r="R76" s="1">
        <v>17.942307692307697</v>
      </c>
      <c r="S76" s="15">
        <v>15.05769230769231</v>
      </c>
    </row>
    <row r="77" spans="1:19" x14ac:dyDescent="0.25">
      <c r="A77" s="4" t="s">
        <v>115</v>
      </c>
      <c r="B77" s="1">
        <v>4.1346153846153841</v>
      </c>
      <c r="H77" s="11"/>
      <c r="I77" s="13">
        <v>24</v>
      </c>
      <c r="J77" s="1">
        <v>6.1553398058252435</v>
      </c>
      <c r="K77" s="1">
        <v>6.1747572815533971</v>
      </c>
      <c r="L77" s="1">
        <v>8.9708737864077701</v>
      </c>
      <c r="M77" s="1">
        <v>14.796116504854366</v>
      </c>
      <c r="N77" s="1">
        <v>6.9611650485436876</v>
      </c>
      <c r="O77" s="1">
        <v>8.2135922330097095</v>
      </c>
      <c r="P77" s="1">
        <v>8.5631067961165055</v>
      </c>
      <c r="Q77" s="1">
        <v>11.718446601941748</v>
      </c>
      <c r="R77" s="1">
        <v>15.456310679611651</v>
      </c>
      <c r="S77" s="1">
        <v>11.572815533980583</v>
      </c>
    </row>
    <row r="78" spans="1:19" x14ac:dyDescent="0.25">
      <c r="A78" s="4" t="s">
        <v>116</v>
      </c>
      <c r="B78" s="1">
        <v>3.6538461538461546</v>
      </c>
    </row>
    <row r="79" spans="1:19" x14ac:dyDescent="0.25">
      <c r="A79" s="4" t="s">
        <v>117</v>
      </c>
      <c r="B79" s="1">
        <v>6.1057692307692299</v>
      </c>
    </row>
    <row r="80" spans="1:19" x14ac:dyDescent="0.25">
      <c r="A80" s="4" t="s">
        <v>118</v>
      </c>
      <c r="B80" s="1">
        <v>-1.3344026738283132E-15</v>
      </c>
      <c r="G80" s="7" t="s">
        <v>21</v>
      </c>
      <c r="H80" s="8" t="s">
        <v>22</v>
      </c>
      <c r="I80" s="8"/>
      <c r="J80" s="8"/>
      <c r="K80" s="8"/>
      <c r="L80" s="8"/>
    </row>
    <row r="81" spans="1:25" x14ac:dyDescent="0.25">
      <c r="A81" s="4" t="s">
        <v>119</v>
      </c>
      <c r="B81" s="1">
        <v>2.067307692307693</v>
      </c>
      <c r="D81" s="7" t="s">
        <v>148</v>
      </c>
      <c r="G81" s="7"/>
      <c r="H81" s="8"/>
      <c r="I81" s="8"/>
      <c r="J81" s="8"/>
      <c r="K81" s="8"/>
      <c r="L81" s="8"/>
      <c r="Q81" s="7" t="s">
        <v>176</v>
      </c>
      <c r="R81" s="8"/>
      <c r="S81" s="8"/>
      <c r="T81" s="8"/>
      <c r="U81" s="8"/>
      <c r="V81" s="8"/>
      <c r="W81" s="8"/>
      <c r="X81" s="8"/>
      <c r="Y81" s="8"/>
    </row>
    <row r="82" spans="1:25" x14ac:dyDescent="0.25">
      <c r="A82" s="4" t="s">
        <v>90</v>
      </c>
      <c r="B82" s="1">
        <v>4.4999999999999982</v>
      </c>
      <c r="G82" s="7" t="s">
        <v>148</v>
      </c>
      <c r="H82" s="8" t="s">
        <v>149</v>
      </c>
      <c r="I82" s="8"/>
      <c r="J82" s="8"/>
      <c r="K82" s="8"/>
      <c r="L82" s="8"/>
      <c r="Q82" s="7"/>
      <c r="R82" s="8"/>
      <c r="S82" s="8"/>
      <c r="T82" s="8"/>
      <c r="U82" s="8"/>
      <c r="V82" s="8"/>
      <c r="W82" s="8"/>
      <c r="X82" s="8"/>
      <c r="Y82" s="8"/>
    </row>
    <row r="83" spans="1:25" x14ac:dyDescent="0.25">
      <c r="A83" s="4" t="s">
        <v>91</v>
      </c>
      <c r="B83" s="1">
        <v>17.72115384615385</v>
      </c>
      <c r="G83" s="7" t="s">
        <v>150</v>
      </c>
      <c r="H83" s="8">
        <v>0.05</v>
      </c>
      <c r="I83" s="8"/>
      <c r="J83" s="8"/>
      <c r="K83" s="8"/>
      <c r="L83" s="8"/>
      <c r="Q83" s="7" t="s">
        <v>177</v>
      </c>
      <c r="R83" s="8">
        <v>1</v>
      </c>
      <c r="S83" s="8"/>
      <c r="T83" s="8"/>
      <c r="U83" s="8"/>
      <c r="V83" s="8"/>
      <c r="W83" s="8"/>
      <c r="X83" s="8"/>
      <c r="Y83" s="8"/>
    </row>
    <row r="84" spans="1:25" x14ac:dyDescent="0.25">
      <c r="A84" s="4" t="s">
        <v>92</v>
      </c>
      <c r="B84" s="1">
        <v>22.75</v>
      </c>
      <c r="G84" s="7"/>
      <c r="H84" s="8"/>
      <c r="I84" s="8"/>
      <c r="J84" s="8"/>
      <c r="K84" s="8"/>
      <c r="L84" s="8"/>
      <c r="Q84" s="7" t="s">
        <v>178</v>
      </c>
      <c r="R84" s="8">
        <v>5</v>
      </c>
      <c r="S84" s="8"/>
      <c r="T84" s="8"/>
      <c r="U84" s="8"/>
      <c r="V84" s="8"/>
      <c r="W84" s="8"/>
      <c r="X84" s="8"/>
      <c r="Y84" s="8"/>
    </row>
    <row r="85" spans="1:25" x14ac:dyDescent="0.25">
      <c r="A85" s="4" t="s">
        <v>93</v>
      </c>
      <c r="B85" s="1">
        <v>5.6057692307692299</v>
      </c>
      <c r="G85" s="7" t="s">
        <v>151</v>
      </c>
      <c r="H85" s="8" t="s">
        <v>152</v>
      </c>
      <c r="I85" s="8" t="s">
        <v>23</v>
      </c>
      <c r="J85" s="8" t="s">
        <v>24</v>
      </c>
      <c r="K85" s="8" t="s">
        <v>153</v>
      </c>
      <c r="L85" s="8"/>
      <c r="Q85" s="7" t="s">
        <v>150</v>
      </c>
      <c r="R85" s="8">
        <v>0.05</v>
      </c>
      <c r="S85" s="8"/>
      <c r="T85" s="8"/>
      <c r="U85" s="8"/>
      <c r="V85" s="8"/>
      <c r="W85" s="8"/>
      <c r="X85" s="8"/>
      <c r="Y85" s="8"/>
    </row>
    <row r="86" spans="1:25" x14ac:dyDescent="0.25">
      <c r="A86" s="4" t="s">
        <v>94</v>
      </c>
      <c r="B86" s="1">
        <v>5.5096153846153841</v>
      </c>
      <c r="G86" s="7" t="s">
        <v>154</v>
      </c>
      <c r="H86" s="8">
        <v>20.64</v>
      </c>
      <c r="I86" s="8" t="s">
        <v>155</v>
      </c>
      <c r="J86" s="8" t="s">
        <v>156</v>
      </c>
      <c r="K86" s="8" t="s">
        <v>25</v>
      </c>
      <c r="L86" s="8"/>
      <c r="Q86" s="7"/>
      <c r="R86" s="8"/>
      <c r="S86" s="8"/>
      <c r="T86" s="8"/>
      <c r="U86" s="8"/>
      <c r="V86" s="8"/>
      <c r="W86" s="8"/>
      <c r="X86" s="8"/>
      <c r="Y86" s="8"/>
    </row>
    <row r="87" spans="1:25" x14ac:dyDescent="0.25">
      <c r="A87" s="4" t="s">
        <v>95</v>
      </c>
      <c r="B87" s="1">
        <v>7.9423076923076934</v>
      </c>
      <c r="G87" s="7" t="s">
        <v>157</v>
      </c>
      <c r="H87" s="8">
        <v>19.87</v>
      </c>
      <c r="I87" s="8" t="s">
        <v>155</v>
      </c>
      <c r="J87" s="8" t="s">
        <v>156</v>
      </c>
      <c r="K87" s="8" t="s">
        <v>25</v>
      </c>
      <c r="L87" s="8"/>
      <c r="Q87" s="7" t="s">
        <v>179</v>
      </c>
      <c r="R87" s="8" t="s">
        <v>180</v>
      </c>
      <c r="S87" s="8" t="s">
        <v>181</v>
      </c>
      <c r="T87" s="8" t="s">
        <v>182</v>
      </c>
      <c r="U87" s="8" t="s">
        <v>183</v>
      </c>
      <c r="V87" s="8" t="s">
        <v>184</v>
      </c>
      <c r="W87" s="8"/>
      <c r="X87" s="8"/>
      <c r="Y87" s="8"/>
    </row>
    <row r="88" spans="1:25" x14ac:dyDescent="0.25">
      <c r="A88" s="4" t="s">
        <v>96</v>
      </c>
      <c r="B88" s="1">
        <v>20.990384615384613</v>
      </c>
      <c r="G88" s="7" t="s">
        <v>158</v>
      </c>
      <c r="H88" s="8">
        <v>26.48</v>
      </c>
      <c r="I88" s="8" t="s">
        <v>155</v>
      </c>
      <c r="J88" s="8" t="s">
        <v>156</v>
      </c>
      <c r="K88" s="8" t="s">
        <v>25</v>
      </c>
      <c r="L88" s="8"/>
      <c r="Q88" s="7"/>
      <c r="R88" s="8"/>
      <c r="S88" s="8"/>
      <c r="T88" s="8"/>
      <c r="U88" s="8"/>
      <c r="V88" s="8"/>
      <c r="W88" s="8"/>
      <c r="X88" s="8"/>
      <c r="Y88" s="8"/>
    </row>
    <row r="89" spans="1:25" x14ac:dyDescent="0.25">
      <c r="A89" s="4" t="s">
        <v>97</v>
      </c>
      <c r="B89" s="1">
        <v>21.21153846153846</v>
      </c>
      <c r="G89" s="7"/>
      <c r="H89" s="8"/>
      <c r="I89" s="8"/>
      <c r="J89" s="8"/>
      <c r="K89" s="8"/>
      <c r="L89" s="8"/>
      <c r="Q89" s="7" t="s">
        <v>185</v>
      </c>
      <c r="R89" s="8"/>
      <c r="S89" s="8"/>
      <c r="T89" s="8"/>
      <c r="U89" s="8"/>
      <c r="V89" s="8"/>
      <c r="W89" s="8"/>
      <c r="X89" s="8"/>
      <c r="Y89" s="8"/>
    </row>
    <row r="90" spans="1:25" x14ac:dyDescent="0.25">
      <c r="A90" s="4" t="s">
        <v>98</v>
      </c>
      <c r="B90" s="1">
        <v>17.942307692307697</v>
      </c>
      <c r="G90" s="7" t="s">
        <v>159</v>
      </c>
      <c r="H90" s="8" t="s">
        <v>160</v>
      </c>
      <c r="I90" s="8" t="s">
        <v>161</v>
      </c>
      <c r="J90" s="8" t="s">
        <v>162</v>
      </c>
      <c r="K90" s="8" t="s">
        <v>163</v>
      </c>
      <c r="L90" s="8" t="s">
        <v>23</v>
      </c>
      <c r="Q90" s="7" t="s">
        <v>186</v>
      </c>
      <c r="R90" s="8">
        <v>0.22220000000000001</v>
      </c>
      <c r="S90" s="8" t="s">
        <v>205</v>
      </c>
      <c r="T90" s="8" t="s">
        <v>187</v>
      </c>
      <c r="U90" s="8" t="s">
        <v>188</v>
      </c>
      <c r="V90" s="8" t="s">
        <v>189</v>
      </c>
      <c r="W90" s="8"/>
      <c r="X90" s="8"/>
      <c r="Y90" s="8"/>
    </row>
    <row r="91" spans="1:25" x14ac:dyDescent="0.25">
      <c r="A91" s="4" t="s">
        <v>99</v>
      </c>
      <c r="B91" s="1">
        <v>15.05769230769231</v>
      </c>
      <c r="G91" s="7" t="s">
        <v>154</v>
      </c>
      <c r="H91" s="8">
        <v>1644</v>
      </c>
      <c r="I91" s="8">
        <v>4</v>
      </c>
      <c r="J91" s="8">
        <v>410.9</v>
      </c>
      <c r="K91" s="8" t="s">
        <v>201</v>
      </c>
      <c r="L91" s="8" t="s">
        <v>164</v>
      </c>
      <c r="Q91" s="7" t="s">
        <v>190</v>
      </c>
      <c r="R91" s="8">
        <v>-5.569</v>
      </c>
      <c r="S91" s="8" t="s">
        <v>206</v>
      </c>
      <c r="T91" s="8" t="s">
        <v>187</v>
      </c>
      <c r="U91" s="8" t="s">
        <v>188</v>
      </c>
      <c r="V91" s="8">
        <v>0.1132</v>
      </c>
      <c r="W91" s="8"/>
      <c r="X91" s="8"/>
      <c r="Y91" s="8"/>
    </row>
    <row r="92" spans="1:25" x14ac:dyDescent="0.25">
      <c r="A92" s="4" t="s">
        <v>120</v>
      </c>
      <c r="B92" s="1">
        <v>3.0776699029126218</v>
      </c>
      <c r="G92" s="7" t="s">
        <v>157</v>
      </c>
      <c r="H92" s="8">
        <v>1582</v>
      </c>
      <c r="I92" s="8">
        <v>4</v>
      </c>
      <c r="J92" s="8">
        <v>395.5</v>
      </c>
      <c r="K92" s="8" t="s">
        <v>202</v>
      </c>
      <c r="L92" s="8" t="s">
        <v>164</v>
      </c>
      <c r="Q92" s="7" t="s">
        <v>191</v>
      </c>
      <c r="R92" s="8">
        <v>-24.31</v>
      </c>
      <c r="S92" s="8" t="s">
        <v>207</v>
      </c>
      <c r="T92" s="8" t="s">
        <v>25</v>
      </c>
      <c r="U92" s="8" t="s">
        <v>156</v>
      </c>
      <c r="V92" s="8" t="s">
        <v>155</v>
      </c>
      <c r="W92" s="8"/>
      <c r="X92" s="8"/>
      <c r="Y92" s="8"/>
    </row>
    <row r="93" spans="1:25" x14ac:dyDescent="0.25">
      <c r="A93" s="4" t="s">
        <v>121</v>
      </c>
      <c r="B93" s="1">
        <v>4.1941747572815524</v>
      </c>
      <c r="G93" s="7" t="s">
        <v>158</v>
      </c>
      <c r="H93" s="8">
        <v>2108</v>
      </c>
      <c r="I93" s="8">
        <v>1</v>
      </c>
      <c r="J93" s="8">
        <v>2108</v>
      </c>
      <c r="K93" s="8" t="s">
        <v>203</v>
      </c>
      <c r="L93" s="8" t="s">
        <v>164</v>
      </c>
      <c r="Q93" s="7" t="s">
        <v>192</v>
      </c>
      <c r="R93" s="8">
        <v>-10.19</v>
      </c>
      <c r="S93" s="8" t="s">
        <v>208</v>
      </c>
      <c r="T93" s="8" t="s">
        <v>25</v>
      </c>
      <c r="U93" s="8" t="s">
        <v>209</v>
      </c>
      <c r="V93" s="8">
        <v>2.9999999999999997E-4</v>
      </c>
      <c r="W93" s="8"/>
      <c r="X93" s="8"/>
      <c r="Y93" s="8"/>
    </row>
    <row r="94" spans="1:25" x14ac:dyDescent="0.25">
      <c r="A94" s="4" t="s">
        <v>122</v>
      </c>
      <c r="B94" s="1">
        <v>1.6699029126213585</v>
      </c>
      <c r="G94" s="7" t="s">
        <v>165</v>
      </c>
      <c r="H94" s="8">
        <v>2535</v>
      </c>
      <c r="I94" s="8">
        <v>88</v>
      </c>
      <c r="J94" s="8">
        <v>28.8</v>
      </c>
      <c r="K94" s="8"/>
      <c r="L94" s="8"/>
      <c r="Q94" s="7" t="s">
        <v>193</v>
      </c>
      <c r="R94" s="8">
        <v>-6.5789999999999997</v>
      </c>
      <c r="S94" s="8" t="s">
        <v>210</v>
      </c>
      <c r="T94" s="8" t="s">
        <v>25</v>
      </c>
      <c r="U94" s="8" t="s">
        <v>20</v>
      </c>
      <c r="V94" s="8">
        <v>3.7100000000000001E-2</v>
      </c>
      <c r="W94" s="8"/>
      <c r="X94" s="8"/>
      <c r="Y94" s="8"/>
    </row>
    <row r="95" spans="1:25" x14ac:dyDescent="0.25">
      <c r="A95" s="4" t="s">
        <v>123</v>
      </c>
      <c r="B95" s="1">
        <v>3.9223300970873778</v>
      </c>
      <c r="G95" s="7"/>
      <c r="H95" s="8"/>
      <c r="I95" s="8"/>
      <c r="J95" s="8"/>
      <c r="K95" s="8"/>
      <c r="L95" s="8"/>
      <c r="Q95" s="7"/>
      <c r="R95" s="8"/>
      <c r="S95" s="8"/>
      <c r="T95" s="8"/>
      <c r="U95" s="8"/>
      <c r="V95" s="8"/>
      <c r="W95" s="8"/>
      <c r="X95" s="8"/>
      <c r="Y95" s="8"/>
    </row>
    <row r="96" spans="1:25" x14ac:dyDescent="0.25">
      <c r="A96" s="4" t="s">
        <v>124</v>
      </c>
      <c r="B96" s="1">
        <v>3.339805825242717</v>
      </c>
      <c r="G96" s="7" t="s">
        <v>166</v>
      </c>
      <c r="H96" s="8"/>
      <c r="I96" s="8"/>
      <c r="J96" s="8"/>
      <c r="K96" s="8"/>
      <c r="L96" s="8"/>
      <c r="Q96" s="7"/>
      <c r="R96" s="8"/>
      <c r="S96" s="8"/>
      <c r="T96" s="8"/>
      <c r="U96" s="8"/>
      <c r="V96" s="8"/>
      <c r="W96" s="8"/>
      <c r="X96" s="8"/>
      <c r="Y96" s="8"/>
    </row>
    <row r="97" spans="1:25" x14ac:dyDescent="0.25">
      <c r="A97" s="4" t="s">
        <v>125</v>
      </c>
      <c r="B97" s="1">
        <v>5.2621359223300965</v>
      </c>
      <c r="G97" s="7" t="s">
        <v>167</v>
      </c>
      <c r="H97" s="8">
        <v>2.968</v>
      </c>
      <c r="I97" s="8"/>
      <c r="J97" s="8"/>
      <c r="K97" s="8"/>
      <c r="L97" s="8"/>
      <c r="Q97" s="7" t="s">
        <v>194</v>
      </c>
      <c r="R97" s="8" t="s">
        <v>195</v>
      </c>
      <c r="S97" s="8" t="s">
        <v>196</v>
      </c>
      <c r="T97" s="8" t="s">
        <v>180</v>
      </c>
      <c r="U97" s="8" t="s">
        <v>197</v>
      </c>
      <c r="V97" s="8" t="s">
        <v>198</v>
      </c>
      <c r="W97" s="8" t="s">
        <v>199</v>
      </c>
      <c r="X97" s="8" t="s">
        <v>200</v>
      </c>
      <c r="Y97" s="8" t="s">
        <v>161</v>
      </c>
    </row>
    <row r="98" spans="1:25" x14ac:dyDescent="0.25">
      <c r="A98" s="4" t="s">
        <v>126</v>
      </c>
      <c r="B98" s="1">
        <v>1.3009708737864072</v>
      </c>
      <c r="G98" s="7" t="s">
        <v>168</v>
      </c>
      <c r="H98" s="8">
        <v>12.25</v>
      </c>
      <c r="I98" s="8"/>
      <c r="J98" s="8"/>
      <c r="K98" s="8"/>
      <c r="L98" s="8"/>
      <c r="Q98" s="7"/>
      <c r="R98" s="8"/>
      <c r="S98" s="8"/>
      <c r="T98" s="8"/>
      <c r="U98" s="8"/>
      <c r="V98" s="8"/>
      <c r="W98" s="8"/>
      <c r="X98" s="8"/>
      <c r="Y98" s="8"/>
    </row>
    <row r="99" spans="1:25" x14ac:dyDescent="0.25">
      <c r="A99" s="4" t="s">
        <v>127</v>
      </c>
      <c r="B99" s="1">
        <v>1.2330097087378631</v>
      </c>
      <c r="G99" s="7" t="s">
        <v>169</v>
      </c>
      <c r="H99" s="8">
        <v>-9.2850000000000001</v>
      </c>
      <c r="I99" s="8"/>
      <c r="J99" s="8"/>
      <c r="K99" s="8"/>
      <c r="L99" s="8"/>
      <c r="Q99" s="7" t="s">
        <v>185</v>
      </c>
      <c r="R99" s="8"/>
      <c r="S99" s="8"/>
      <c r="T99" s="8"/>
      <c r="U99" s="8"/>
      <c r="V99" s="8"/>
      <c r="W99" s="8"/>
      <c r="X99" s="8"/>
      <c r="Y99" s="8"/>
    </row>
    <row r="100" spans="1:25" x14ac:dyDescent="0.25">
      <c r="A100" s="4" t="s">
        <v>128</v>
      </c>
      <c r="B100" s="1">
        <v>5.7669902912621369</v>
      </c>
      <c r="G100" s="7" t="s">
        <v>170</v>
      </c>
      <c r="H100" s="8">
        <v>1.085</v>
      </c>
      <c r="I100" s="8"/>
      <c r="J100" s="8"/>
      <c r="K100" s="8"/>
      <c r="L100" s="8"/>
      <c r="Q100" s="7" t="s">
        <v>186</v>
      </c>
      <c r="R100" s="8">
        <v>2.6</v>
      </c>
      <c r="S100" s="8">
        <v>2.3780000000000001</v>
      </c>
      <c r="T100" s="8">
        <v>0.22220000000000001</v>
      </c>
      <c r="U100" s="8">
        <v>2.5299999999999998</v>
      </c>
      <c r="V100" s="8">
        <v>9</v>
      </c>
      <c r="W100" s="8">
        <v>9</v>
      </c>
      <c r="X100" s="8">
        <v>8.7830000000000005E-2</v>
      </c>
      <c r="Y100" s="8">
        <v>88</v>
      </c>
    </row>
    <row r="101" spans="1:25" x14ac:dyDescent="0.25">
      <c r="A101" s="4" t="s">
        <v>129</v>
      </c>
      <c r="B101" s="1">
        <v>3.0291262135922334</v>
      </c>
      <c r="G101" s="7" t="s">
        <v>171</v>
      </c>
      <c r="H101" s="8" t="s">
        <v>204</v>
      </c>
      <c r="I101" s="8"/>
      <c r="J101" s="8"/>
      <c r="K101" s="8"/>
      <c r="L101" s="8"/>
      <c r="Q101" s="7" t="s">
        <v>190</v>
      </c>
      <c r="R101" s="8">
        <v>2.7839999999999998</v>
      </c>
      <c r="S101" s="8">
        <v>8.3529999999999998</v>
      </c>
      <c r="T101" s="8">
        <v>-5.569</v>
      </c>
      <c r="U101" s="8">
        <v>2.4</v>
      </c>
      <c r="V101" s="8">
        <v>10</v>
      </c>
      <c r="W101" s="8">
        <v>10</v>
      </c>
      <c r="X101" s="8">
        <v>2.3199999999999998</v>
      </c>
      <c r="Y101" s="8">
        <v>88</v>
      </c>
    </row>
    <row r="102" spans="1:25" x14ac:dyDescent="0.25">
      <c r="A102" s="4" t="s">
        <v>130</v>
      </c>
      <c r="B102" s="1">
        <v>6.1553398058252435</v>
      </c>
      <c r="G102" s="7"/>
      <c r="H102" s="8"/>
      <c r="I102" s="8"/>
      <c r="J102" s="8"/>
      <c r="K102" s="8"/>
      <c r="L102" s="8"/>
      <c r="Q102" s="7" t="s">
        <v>191</v>
      </c>
      <c r="R102" s="8">
        <v>2.444</v>
      </c>
      <c r="S102" s="8">
        <v>26.75</v>
      </c>
      <c r="T102" s="8">
        <v>-24.31</v>
      </c>
      <c r="U102" s="8">
        <v>2.4</v>
      </c>
      <c r="V102" s="8">
        <v>10</v>
      </c>
      <c r="W102" s="8">
        <v>10</v>
      </c>
      <c r="X102" s="8">
        <v>10.130000000000001</v>
      </c>
      <c r="Y102" s="8">
        <v>88</v>
      </c>
    </row>
    <row r="103" spans="1:25" x14ac:dyDescent="0.25">
      <c r="A103" s="4" t="s">
        <v>131</v>
      </c>
      <c r="B103" s="1">
        <v>6.1747572815533971</v>
      </c>
      <c r="G103" s="7" t="s">
        <v>172</v>
      </c>
      <c r="H103" s="8"/>
      <c r="I103" s="8"/>
      <c r="J103" s="8"/>
      <c r="K103" s="8"/>
      <c r="L103" s="8"/>
      <c r="Q103" s="7" t="s">
        <v>192</v>
      </c>
      <c r="R103" s="8">
        <v>3.7309999999999999</v>
      </c>
      <c r="S103" s="8">
        <v>13.92</v>
      </c>
      <c r="T103" s="8">
        <v>-10.19</v>
      </c>
      <c r="U103" s="8">
        <v>2.4</v>
      </c>
      <c r="V103" s="8">
        <v>10</v>
      </c>
      <c r="W103" s="8">
        <v>10</v>
      </c>
      <c r="X103" s="8">
        <v>4.2460000000000004</v>
      </c>
      <c r="Y103" s="8">
        <v>88</v>
      </c>
    </row>
    <row r="104" spans="1:25" x14ac:dyDescent="0.25">
      <c r="A104" s="4" t="s">
        <v>132</v>
      </c>
      <c r="B104" s="1">
        <v>8.9708737864077701</v>
      </c>
      <c r="G104" s="7" t="s">
        <v>173</v>
      </c>
      <c r="H104" s="8">
        <v>2</v>
      </c>
      <c r="I104" s="8"/>
      <c r="J104" s="8"/>
      <c r="K104" s="8"/>
      <c r="L104" s="8"/>
      <c r="Q104" s="7" t="s">
        <v>193</v>
      </c>
      <c r="R104" s="8">
        <v>3.28</v>
      </c>
      <c r="S104" s="8">
        <v>9.8580000000000005</v>
      </c>
      <c r="T104" s="8">
        <v>-6.5789999999999997</v>
      </c>
      <c r="U104" s="8">
        <v>2.4</v>
      </c>
      <c r="V104" s="8">
        <v>10</v>
      </c>
      <c r="W104" s="8">
        <v>10</v>
      </c>
      <c r="X104" s="8">
        <v>2.7410000000000001</v>
      </c>
      <c r="Y104" s="8">
        <v>88</v>
      </c>
    </row>
    <row r="105" spans="1:25" x14ac:dyDescent="0.25">
      <c r="A105" s="4" t="s">
        <v>133</v>
      </c>
      <c r="B105" s="1">
        <v>14.796116504854366</v>
      </c>
      <c r="G105" s="7" t="s">
        <v>174</v>
      </c>
      <c r="H105" s="8">
        <v>5</v>
      </c>
      <c r="I105" s="8"/>
      <c r="J105" s="8"/>
      <c r="K105" s="8"/>
      <c r="L105" s="8"/>
      <c r="Q105" s="7"/>
      <c r="R105" s="8"/>
      <c r="S105" s="8"/>
      <c r="T105" s="8"/>
      <c r="U105" s="8"/>
      <c r="V105" s="8"/>
      <c r="W105" s="8"/>
      <c r="X105" s="8"/>
      <c r="Y105" s="8"/>
    </row>
    <row r="106" spans="1:25" x14ac:dyDescent="0.25">
      <c r="A106" s="4" t="s">
        <v>134</v>
      </c>
      <c r="B106" s="1">
        <v>6.9611650485436876</v>
      </c>
      <c r="G106" s="7" t="s">
        <v>175</v>
      </c>
      <c r="H106" s="8">
        <v>98</v>
      </c>
      <c r="I106" s="8"/>
      <c r="J106" s="8"/>
      <c r="K106" s="8"/>
      <c r="L106" s="8"/>
    </row>
    <row r="107" spans="1:25" x14ac:dyDescent="0.25">
      <c r="A107" s="4" t="s">
        <v>135</v>
      </c>
      <c r="B107" s="1">
        <v>8.2135922330097095</v>
      </c>
    </row>
    <row r="108" spans="1:25" x14ac:dyDescent="0.25">
      <c r="A108" s="4" t="s">
        <v>136</v>
      </c>
      <c r="B108" s="1">
        <v>8.5631067961165055</v>
      </c>
    </row>
    <row r="109" spans="1:25" x14ac:dyDescent="0.25">
      <c r="A109" s="4" t="s">
        <v>137</v>
      </c>
      <c r="B109" s="1">
        <v>11.718446601941748</v>
      </c>
    </row>
    <row r="110" spans="1:25" x14ac:dyDescent="0.25">
      <c r="A110" s="4" t="s">
        <v>138</v>
      </c>
      <c r="B110" s="1">
        <v>15.456310679611651</v>
      </c>
    </row>
    <row r="111" spans="1:25" x14ac:dyDescent="0.25">
      <c r="A111" s="4" t="s">
        <v>139</v>
      </c>
      <c r="B111" s="1">
        <v>11.572815533980583</v>
      </c>
    </row>
    <row r="113" spans="4:31" x14ac:dyDescent="0.25">
      <c r="W113" s="7" t="s">
        <v>177</v>
      </c>
      <c r="X113" s="8">
        <v>1</v>
      </c>
      <c r="Y113" s="8"/>
      <c r="Z113" s="8"/>
      <c r="AA113" s="8"/>
      <c r="AB113" s="8"/>
      <c r="AC113" s="8"/>
      <c r="AD113" s="8"/>
      <c r="AE113" s="8"/>
    </row>
    <row r="114" spans="4:31" x14ac:dyDescent="0.25">
      <c r="G114" s="10"/>
      <c r="H114" s="10"/>
      <c r="I114" s="10"/>
      <c r="J114" s="10" t="s">
        <v>140</v>
      </c>
      <c r="K114" s="10"/>
      <c r="L114" s="10"/>
      <c r="P114" s="7" t="s">
        <v>21</v>
      </c>
      <c r="Q114" s="8" t="s">
        <v>211</v>
      </c>
      <c r="R114" s="8"/>
      <c r="S114" s="8"/>
      <c r="T114" s="8"/>
      <c r="U114" s="8"/>
      <c r="W114" s="7" t="s">
        <v>178</v>
      </c>
      <c r="X114" s="8">
        <v>15</v>
      </c>
      <c r="Y114" s="8"/>
      <c r="Z114" s="8"/>
      <c r="AA114" s="8"/>
      <c r="AB114" s="8"/>
      <c r="AC114" s="8"/>
      <c r="AD114" s="8"/>
      <c r="AE114" s="8"/>
    </row>
    <row r="115" spans="4:31" x14ac:dyDescent="0.25">
      <c r="G115" s="1">
        <v>0</v>
      </c>
      <c r="H115" s="1">
        <v>1</v>
      </c>
      <c r="I115" s="1">
        <v>2</v>
      </c>
      <c r="J115" s="1">
        <v>6</v>
      </c>
      <c r="K115" s="1">
        <v>12</v>
      </c>
      <c r="L115" s="1">
        <v>24</v>
      </c>
      <c r="P115" s="7" t="s">
        <v>212</v>
      </c>
      <c r="Q115" s="8" t="s">
        <v>213</v>
      </c>
      <c r="R115" s="8"/>
      <c r="S115" s="8"/>
      <c r="T115" s="8"/>
      <c r="U115" s="8"/>
      <c r="W115" s="7" t="s">
        <v>150</v>
      </c>
      <c r="X115" s="8">
        <v>0.05</v>
      </c>
      <c r="Y115" s="8"/>
      <c r="Z115" s="8"/>
      <c r="AA115" s="8"/>
      <c r="AB115" s="8"/>
      <c r="AC115" s="8"/>
      <c r="AD115" s="8"/>
      <c r="AE115" s="8"/>
    </row>
    <row r="116" spans="4:31" x14ac:dyDescent="0.25">
      <c r="G116" s="1">
        <v>3.1666666666666603</v>
      </c>
      <c r="I116" s="1">
        <v>3.979166666666667</v>
      </c>
      <c r="J116" s="1">
        <v>0.5972222222222201</v>
      </c>
      <c r="K116" s="1">
        <v>4.8076923076923093</v>
      </c>
      <c r="L116" s="1">
        <v>3.0776699029126218</v>
      </c>
      <c r="P116" s="7"/>
      <c r="Q116" s="8"/>
      <c r="R116" s="8"/>
      <c r="S116" s="8"/>
      <c r="T116" s="8"/>
      <c r="U116" s="8"/>
      <c r="W116" s="7"/>
      <c r="X116" s="8"/>
      <c r="Y116" s="8"/>
      <c r="Z116" s="8"/>
      <c r="AA116" s="8"/>
      <c r="AB116" s="8"/>
      <c r="AC116" s="8"/>
      <c r="AD116" s="8"/>
      <c r="AE116" s="8"/>
    </row>
    <row r="117" spans="4:31" x14ac:dyDescent="0.25">
      <c r="G117" s="1">
        <v>5.8333333333333197</v>
      </c>
      <c r="H117" s="1">
        <v>1.5999999999999979</v>
      </c>
      <c r="I117" s="1">
        <v>5.2986111111111107</v>
      </c>
      <c r="J117" s="1">
        <v>2.9374999999999996</v>
      </c>
      <c r="K117" s="1">
        <v>2.8365384615384603</v>
      </c>
      <c r="L117" s="1">
        <v>4.1941747572815524</v>
      </c>
      <c r="P117" s="7" t="s">
        <v>214</v>
      </c>
      <c r="Q117" s="8"/>
      <c r="R117" s="8"/>
      <c r="S117" s="8"/>
      <c r="T117" s="8"/>
      <c r="U117" s="8"/>
      <c r="W117" s="7" t="s">
        <v>234</v>
      </c>
      <c r="X117" s="8" t="s">
        <v>235</v>
      </c>
      <c r="Y117" s="8" t="s">
        <v>181</v>
      </c>
      <c r="Z117" s="8" t="s">
        <v>182</v>
      </c>
      <c r="AA117" s="8" t="s">
        <v>183</v>
      </c>
      <c r="AB117" s="8" t="s">
        <v>184</v>
      </c>
      <c r="AC117" s="8"/>
      <c r="AD117" s="8"/>
      <c r="AE117" s="8"/>
    </row>
    <row r="118" spans="4:31" x14ac:dyDescent="0.25">
      <c r="G118" s="1">
        <v>0</v>
      </c>
      <c r="H118" s="1">
        <v>1.0999999999999972</v>
      </c>
      <c r="I118" s="1">
        <v>2.5555555555555545</v>
      </c>
      <c r="J118" s="1">
        <v>1.3402777777777757</v>
      </c>
      <c r="K118" s="1">
        <v>5.4807692307692335</v>
      </c>
      <c r="L118" s="1">
        <v>1.6699029126213585</v>
      </c>
      <c r="P118" s="7" t="s">
        <v>5</v>
      </c>
      <c r="Q118" s="8">
        <v>0.63829999999999998</v>
      </c>
      <c r="R118" s="8"/>
      <c r="S118" s="8"/>
      <c r="T118" s="8"/>
      <c r="U118" s="8"/>
      <c r="W118" s="7" t="s">
        <v>236</v>
      </c>
      <c r="X118" s="8">
        <v>1.05</v>
      </c>
      <c r="Y118" s="8" t="s">
        <v>285</v>
      </c>
      <c r="Z118" s="8" t="s">
        <v>187</v>
      </c>
      <c r="AA118" s="8" t="s">
        <v>188</v>
      </c>
      <c r="AB118" s="8">
        <v>0.89539999999999997</v>
      </c>
      <c r="AC118" s="8" t="s">
        <v>238</v>
      </c>
      <c r="AD118" s="8"/>
      <c r="AE118" s="8"/>
    </row>
    <row r="119" spans="4:31" x14ac:dyDescent="0.25">
      <c r="G119" s="1">
        <v>8.8333333333333233</v>
      </c>
      <c r="H119" s="1">
        <v>1.2666666666666639</v>
      </c>
      <c r="I119" s="1">
        <v>4.694444444444442</v>
      </c>
      <c r="J119" s="1">
        <v>3.4444444444444411</v>
      </c>
      <c r="K119" s="1">
        <v>3.3173076923076916</v>
      </c>
      <c r="L119" s="1">
        <v>3.9223300970873778</v>
      </c>
      <c r="P119" s="7" t="s">
        <v>23</v>
      </c>
      <c r="Q119" s="8">
        <v>0.6714</v>
      </c>
      <c r="R119" s="8"/>
      <c r="S119" s="8"/>
      <c r="T119" s="8"/>
      <c r="U119" s="8"/>
      <c r="W119" s="7" t="s">
        <v>239</v>
      </c>
      <c r="X119" s="8">
        <v>0.86599999999999999</v>
      </c>
      <c r="Y119" s="8" t="s">
        <v>286</v>
      </c>
      <c r="Z119" s="8" t="s">
        <v>187</v>
      </c>
      <c r="AA119" s="8" t="s">
        <v>188</v>
      </c>
      <c r="AB119" s="8">
        <v>0.9456</v>
      </c>
      <c r="AC119" s="8" t="s">
        <v>241</v>
      </c>
      <c r="AD119" s="8"/>
      <c r="AE119" s="8"/>
    </row>
    <row r="120" spans="4:31" x14ac:dyDescent="0.25">
      <c r="G120" s="1">
        <v>8.8333333333333233</v>
      </c>
      <c r="H120" s="1">
        <v>5.0999999999999961</v>
      </c>
      <c r="I120" s="1">
        <v>4.3472222222222197</v>
      </c>
      <c r="J120" s="1">
        <v>0.92361111111110872</v>
      </c>
      <c r="K120" s="1">
        <v>4.9038461538461542</v>
      </c>
      <c r="L120" s="1">
        <v>3.339805825242717</v>
      </c>
      <c r="P120" s="7" t="s">
        <v>24</v>
      </c>
      <c r="Q120" s="8" t="s">
        <v>188</v>
      </c>
      <c r="R120" s="8"/>
      <c r="S120" s="8"/>
      <c r="T120" s="8"/>
      <c r="U120" s="8"/>
      <c r="W120" s="7" t="s">
        <v>242</v>
      </c>
      <c r="X120" s="8">
        <v>1.206</v>
      </c>
      <c r="Y120" s="8" t="s">
        <v>287</v>
      </c>
      <c r="Z120" s="8" t="s">
        <v>187</v>
      </c>
      <c r="AA120" s="8" t="s">
        <v>188</v>
      </c>
      <c r="AB120" s="8">
        <v>0.81040000000000001</v>
      </c>
      <c r="AC120" s="8" t="s">
        <v>244</v>
      </c>
      <c r="AD120" s="8"/>
      <c r="AE120" s="8"/>
    </row>
    <row r="121" spans="4:31" x14ac:dyDescent="0.25">
      <c r="D121" s="1" t="s">
        <v>231</v>
      </c>
      <c r="G121" s="1">
        <v>0</v>
      </c>
      <c r="H121" s="1">
        <v>4.5999999999999961</v>
      </c>
      <c r="I121" s="1">
        <v>-0.18750000000000153</v>
      </c>
      <c r="J121" s="1">
        <v>1.6874999999999982</v>
      </c>
      <c r="K121" s="1">
        <v>4.1346153846153841</v>
      </c>
      <c r="L121" s="1">
        <v>5.2621359223300965</v>
      </c>
      <c r="P121" s="7" t="s">
        <v>215</v>
      </c>
      <c r="Q121" s="8" t="s">
        <v>187</v>
      </c>
      <c r="R121" s="8"/>
      <c r="S121" s="8"/>
      <c r="T121" s="8"/>
      <c r="U121" s="8"/>
      <c r="W121" s="7" t="s">
        <v>245</v>
      </c>
      <c r="X121" s="8">
        <v>-8.0769999999999995E-2</v>
      </c>
      <c r="Y121" s="8" t="s">
        <v>288</v>
      </c>
      <c r="Z121" s="8" t="s">
        <v>187</v>
      </c>
      <c r="AA121" s="8" t="s">
        <v>188</v>
      </c>
      <c r="AB121" s="8" t="s">
        <v>189</v>
      </c>
      <c r="AC121" s="8" t="s">
        <v>247</v>
      </c>
      <c r="AD121" s="8"/>
      <c r="AE121" s="8"/>
    </row>
    <row r="122" spans="4:31" x14ac:dyDescent="0.25">
      <c r="G122" s="1">
        <v>0</v>
      </c>
      <c r="H122" s="1">
        <v>2.5999999999999988</v>
      </c>
      <c r="I122" s="1">
        <v>1.2361111111111089</v>
      </c>
      <c r="J122" s="1">
        <v>5.4583333333333321</v>
      </c>
      <c r="K122" s="1">
        <v>3.6538461538461546</v>
      </c>
      <c r="L122" s="1">
        <v>1.3009708737864072</v>
      </c>
      <c r="P122" s="7" t="s">
        <v>216</v>
      </c>
      <c r="Q122" s="8">
        <v>5.6800000000000003E-2</v>
      </c>
      <c r="R122" s="8"/>
      <c r="S122" s="8"/>
      <c r="T122" s="8"/>
      <c r="U122" s="8"/>
      <c r="W122" s="7" t="s">
        <v>248</v>
      </c>
      <c r="X122" s="8">
        <v>0.37040000000000001</v>
      </c>
      <c r="Y122" s="8" t="s">
        <v>289</v>
      </c>
      <c r="Z122" s="8" t="s">
        <v>187</v>
      </c>
      <c r="AA122" s="8" t="s">
        <v>188</v>
      </c>
      <c r="AB122" s="8">
        <v>0.99890000000000001</v>
      </c>
      <c r="AC122" s="8" t="s">
        <v>213</v>
      </c>
      <c r="AD122" s="8"/>
      <c r="AE122" s="8"/>
    </row>
    <row r="123" spans="4:31" x14ac:dyDescent="0.25">
      <c r="G123" s="1">
        <v>0</v>
      </c>
      <c r="H123" s="1">
        <v>3.4333333333333327</v>
      </c>
      <c r="I123" s="1">
        <v>3.2847222222222219</v>
      </c>
      <c r="J123" s="1">
        <v>3.8402777777777781</v>
      </c>
      <c r="K123" s="1">
        <v>6.1057692307692299</v>
      </c>
      <c r="L123" s="1">
        <v>1.2330097087378631</v>
      </c>
      <c r="P123" s="7"/>
      <c r="Q123" s="8"/>
      <c r="R123" s="8"/>
      <c r="S123" s="8"/>
      <c r="T123" s="8"/>
      <c r="U123" s="8"/>
      <c r="W123" s="7" t="s">
        <v>250</v>
      </c>
      <c r="X123" s="8">
        <v>-0.184</v>
      </c>
      <c r="Y123" s="8" t="s">
        <v>290</v>
      </c>
      <c r="Z123" s="8" t="s">
        <v>187</v>
      </c>
      <c r="AA123" s="8" t="s">
        <v>188</v>
      </c>
      <c r="AB123" s="8" t="s">
        <v>189</v>
      </c>
      <c r="AC123" s="8" t="s">
        <v>252</v>
      </c>
      <c r="AD123" s="8"/>
      <c r="AE123" s="8"/>
    </row>
    <row r="124" spans="4:31" x14ac:dyDescent="0.25">
      <c r="G124" s="1">
        <v>4.4999999999999991</v>
      </c>
      <c r="H124" s="1">
        <v>1.4333333333333309</v>
      </c>
      <c r="I124" s="1">
        <v>1.9861111111111063</v>
      </c>
      <c r="J124" s="1">
        <v>-0.36111111111111277</v>
      </c>
      <c r="K124" s="1">
        <v>-1.3344026738283132E-15</v>
      </c>
      <c r="L124" s="1">
        <v>5.7669902912621369</v>
      </c>
      <c r="P124" s="7" t="s">
        <v>217</v>
      </c>
      <c r="Q124" s="8"/>
      <c r="R124" s="8"/>
      <c r="S124" s="8"/>
      <c r="T124" s="8"/>
      <c r="U124" s="8"/>
      <c r="W124" s="7" t="s">
        <v>253</v>
      </c>
      <c r="X124" s="8">
        <v>0.15629999999999999</v>
      </c>
      <c r="Y124" s="8" t="s">
        <v>291</v>
      </c>
      <c r="Z124" s="8" t="s">
        <v>187</v>
      </c>
      <c r="AA124" s="8" t="s">
        <v>188</v>
      </c>
      <c r="AB124" s="8" t="s">
        <v>189</v>
      </c>
      <c r="AC124" s="8" t="s">
        <v>255</v>
      </c>
      <c r="AD124" s="8"/>
      <c r="AE124" s="8"/>
    </row>
    <row r="125" spans="4:31" x14ac:dyDescent="0.25">
      <c r="G125" s="15">
        <v>5.3333333333333197</v>
      </c>
      <c r="H125" s="15">
        <v>2.2666666666666604</v>
      </c>
      <c r="I125" s="15">
        <v>0.64583333333333259</v>
      </c>
      <c r="J125" s="15">
        <v>4.5694444444444438</v>
      </c>
      <c r="K125" s="15">
        <v>2.067307692307693</v>
      </c>
      <c r="L125" s="1">
        <v>3.0291262135922334</v>
      </c>
      <c r="P125" s="7" t="s">
        <v>163</v>
      </c>
      <c r="Q125" s="8" t="s">
        <v>218</v>
      </c>
      <c r="R125" s="8"/>
      <c r="S125" s="8"/>
      <c r="T125" s="8"/>
      <c r="U125" s="8"/>
      <c r="W125" s="7" t="s">
        <v>256</v>
      </c>
      <c r="X125" s="8">
        <v>-1.131</v>
      </c>
      <c r="Y125" s="8" t="s">
        <v>292</v>
      </c>
      <c r="Z125" s="8" t="s">
        <v>187</v>
      </c>
      <c r="AA125" s="8" t="s">
        <v>188</v>
      </c>
      <c r="AB125" s="8">
        <v>0.86240000000000006</v>
      </c>
      <c r="AC125" s="8" t="s">
        <v>258</v>
      </c>
      <c r="AD125" s="8"/>
      <c r="AE125" s="8"/>
    </row>
    <row r="126" spans="4:31" x14ac:dyDescent="0.25">
      <c r="P126" s="7" t="s">
        <v>23</v>
      </c>
      <c r="Q126" s="8">
        <v>3.8999999999999998E-3</v>
      </c>
      <c r="R126" s="8"/>
      <c r="S126" s="8"/>
      <c r="T126" s="8"/>
      <c r="U126" s="8"/>
      <c r="W126" s="7" t="s">
        <v>259</v>
      </c>
      <c r="X126" s="8">
        <v>-0.67959999999999998</v>
      </c>
      <c r="Y126" s="8" t="s">
        <v>293</v>
      </c>
      <c r="Z126" s="8" t="s">
        <v>187</v>
      </c>
      <c r="AA126" s="8" t="s">
        <v>188</v>
      </c>
      <c r="AB126" s="8">
        <v>0.9829</v>
      </c>
      <c r="AC126" s="8" t="s">
        <v>261</v>
      </c>
      <c r="AD126" s="8"/>
      <c r="AE126" s="8"/>
    </row>
    <row r="127" spans="4:31" x14ac:dyDescent="0.25">
      <c r="P127" s="7" t="s">
        <v>24</v>
      </c>
      <c r="Q127" s="8" t="s">
        <v>219</v>
      </c>
      <c r="R127" s="8"/>
      <c r="S127" s="8"/>
      <c r="T127" s="8"/>
      <c r="U127" s="8"/>
      <c r="W127" s="7" t="s">
        <v>262</v>
      </c>
      <c r="X127" s="8">
        <v>0.34029999999999999</v>
      </c>
      <c r="Y127" s="8" t="s">
        <v>294</v>
      </c>
      <c r="Z127" s="8" t="s">
        <v>187</v>
      </c>
      <c r="AA127" s="8" t="s">
        <v>188</v>
      </c>
      <c r="AB127" s="8">
        <v>0.99919999999999998</v>
      </c>
      <c r="AC127" s="8" t="s">
        <v>264</v>
      </c>
      <c r="AD127" s="8"/>
      <c r="AE127" s="8"/>
    </row>
    <row r="128" spans="4:31" x14ac:dyDescent="0.25">
      <c r="P128" s="7" t="s">
        <v>220</v>
      </c>
      <c r="Q128" s="8" t="s">
        <v>25</v>
      </c>
      <c r="R128" s="8"/>
      <c r="S128" s="8"/>
      <c r="T128" s="8"/>
      <c r="U128" s="8"/>
      <c r="W128" s="7" t="s">
        <v>265</v>
      </c>
      <c r="X128" s="8">
        <v>-0.94669999999999999</v>
      </c>
      <c r="Y128" s="8" t="s">
        <v>295</v>
      </c>
      <c r="Z128" s="8" t="s">
        <v>187</v>
      </c>
      <c r="AA128" s="8" t="s">
        <v>188</v>
      </c>
      <c r="AB128" s="8">
        <v>0.92210000000000003</v>
      </c>
      <c r="AC128" s="8" t="s">
        <v>267</v>
      </c>
      <c r="AD128" s="8"/>
      <c r="AE128" s="8"/>
    </row>
    <row r="129" spans="16:31" x14ac:dyDescent="0.25">
      <c r="P129" s="7"/>
      <c r="Q129" s="8"/>
      <c r="R129" s="8"/>
      <c r="S129" s="8"/>
      <c r="T129" s="8"/>
      <c r="U129" s="8"/>
      <c r="W129" s="7" t="s">
        <v>268</v>
      </c>
      <c r="X129" s="8">
        <v>-0.49559999999999998</v>
      </c>
      <c r="Y129" s="8" t="s">
        <v>296</v>
      </c>
      <c r="Z129" s="8" t="s">
        <v>187</v>
      </c>
      <c r="AA129" s="8" t="s">
        <v>188</v>
      </c>
      <c r="AB129" s="8">
        <v>0.99539999999999995</v>
      </c>
      <c r="AC129" s="8" t="s">
        <v>270</v>
      </c>
      <c r="AD129" s="8"/>
      <c r="AE129" s="8"/>
    </row>
    <row r="130" spans="16:31" x14ac:dyDescent="0.25">
      <c r="P130" s="7" t="s">
        <v>221</v>
      </c>
      <c r="Q130" s="8"/>
      <c r="R130" s="8"/>
      <c r="S130" s="8"/>
      <c r="T130" s="8"/>
      <c r="U130" s="8"/>
      <c r="W130" s="7" t="s">
        <v>271</v>
      </c>
      <c r="X130" s="8">
        <v>-1.2869999999999999</v>
      </c>
      <c r="Y130" s="8" t="s">
        <v>297</v>
      </c>
      <c r="Z130" s="8" t="s">
        <v>187</v>
      </c>
      <c r="AA130" s="8" t="s">
        <v>188</v>
      </c>
      <c r="AB130" s="8">
        <v>0.76549999999999996</v>
      </c>
      <c r="AC130" s="8" t="s">
        <v>273</v>
      </c>
      <c r="AD130" s="8"/>
      <c r="AE130" s="8"/>
    </row>
    <row r="131" spans="16:31" x14ac:dyDescent="0.25">
      <c r="P131" s="7" t="s">
        <v>222</v>
      </c>
      <c r="Q131" s="8">
        <v>10.75</v>
      </c>
      <c r="R131" s="8"/>
      <c r="S131" s="8"/>
      <c r="T131" s="8"/>
      <c r="U131" s="8"/>
      <c r="W131" s="7" t="s">
        <v>274</v>
      </c>
      <c r="X131" s="8">
        <v>-0.83589999999999998</v>
      </c>
      <c r="Y131" s="8" t="s">
        <v>298</v>
      </c>
      <c r="Z131" s="8" t="s">
        <v>187</v>
      </c>
      <c r="AA131" s="8" t="s">
        <v>188</v>
      </c>
      <c r="AB131" s="8">
        <v>0.95299999999999996</v>
      </c>
      <c r="AC131" s="8" t="s">
        <v>276</v>
      </c>
      <c r="AD131" s="8"/>
      <c r="AE131" s="8"/>
    </row>
    <row r="132" spans="16:31" x14ac:dyDescent="0.25">
      <c r="P132" s="7" t="s">
        <v>23</v>
      </c>
      <c r="Q132" s="8">
        <v>5.6500000000000002E-2</v>
      </c>
      <c r="R132" s="8"/>
      <c r="S132" s="8"/>
      <c r="T132" s="8"/>
      <c r="U132" s="8"/>
      <c r="W132" s="7" t="s">
        <v>277</v>
      </c>
      <c r="X132" s="8">
        <v>0.45119999999999999</v>
      </c>
      <c r="Y132" s="8" t="s">
        <v>299</v>
      </c>
      <c r="Z132" s="8" t="s">
        <v>187</v>
      </c>
      <c r="AA132" s="8" t="s">
        <v>188</v>
      </c>
      <c r="AB132" s="8">
        <v>0.99709999999999999</v>
      </c>
      <c r="AC132" s="8" t="s">
        <v>279</v>
      </c>
      <c r="AD132" s="8"/>
      <c r="AE132" s="8"/>
    </row>
    <row r="133" spans="16:31" x14ac:dyDescent="0.25">
      <c r="P133" s="7" t="s">
        <v>24</v>
      </c>
      <c r="Q133" s="8" t="s">
        <v>188</v>
      </c>
      <c r="R133" s="8"/>
      <c r="S133" s="8"/>
      <c r="T133" s="8"/>
      <c r="U133" s="8"/>
      <c r="W133" s="7"/>
      <c r="X133" s="8"/>
      <c r="Y133" s="8"/>
      <c r="Z133" s="8"/>
      <c r="AA133" s="8"/>
      <c r="AB133" s="8"/>
      <c r="AC133" s="8"/>
      <c r="AD133" s="8"/>
      <c r="AE133" s="8"/>
    </row>
    <row r="134" spans="16:31" x14ac:dyDescent="0.25">
      <c r="P134" s="7" t="s">
        <v>220</v>
      </c>
      <c r="Q134" s="8" t="s">
        <v>187</v>
      </c>
      <c r="R134" s="8"/>
      <c r="S134" s="8"/>
      <c r="T134" s="8"/>
      <c r="U134" s="8"/>
      <c r="W134" s="7" t="s">
        <v>194</v>
      </c>
      <c r="X134" s="8" t="s">
        <v>280</v>
      </c>
      <c r="Y134" s="8" t="s">
        <v>281</v>
      </c>
      <c r="Z134" s="8" t="s">
        <v>235</v>
      </c>
      <c r="AA134" s="8" t="s">
        <v>197</v>
      </c>
      <c r="AB134" s="8" t="s">
        <v>282</v>
      </c>
      <c r="AC134" s="8" t="s">
        <v>283</v>
      </c>
      <c r="AD134" s="8" t="s">
        <v>284</v>
      </c>
      <c r="AE134" s="8" t="s">
        <v>161</v>
      </c>
    </row>
    <row r="135" spans="16:31" x14ac:dyDescent="0.25">
      <c r="P135" s="7"/>
      <c r="Q135" s="8"/>
      <c r="R135" s="8"/>
      <c r="S135" s="8"/>
      <c r="T135" s="8"/>
      <c r="U135" s="8"/>
      <c r="W135" s="7" t="s">
        <v>236</v>
      </c>
      <c r="X135" s="8">
        <v>3.65</v>
      </c>
      <c r="Y135" s="8">
        <v>2.6</v>
      </c>
      <c r="Z135" s="8">
        <v>1.05</v>
      </c>
      <c r="AA135" s="8">
        <v>0.9919</v>
      </c>
      <c r="AB135" s="8">
        <v>10</v>
      </c>
      <c r="AC135" s="8">
        <v>9</v>
      </c>
      <c r="AD135" s="8">
        <v>1.4970000000000001</v>
      </c>
      <c r="AE135" s="8">
        <v>53</v>
      </c>
    </row>
    <row r="136" spans="16:31" x14ac:dyDescent="0.25">
      <c r="P136" s="7" t="s">
        <v>159</v>
      </c>
      <c r="Q136" s="8" t="s">
        <v>223</v>
      </c>
      <c r="R136" s="8" t="s">
        <v>161</v>
      </c>
      <c r="S136" s="8" t="s">
        <v>162</v>
      </c>
      <c r="T136" s="8" t="s">
        <v>163</v>
      </c>
      <c r="U136" s="8" t="s">
        <v>23</v>
      </c>
      <c r="W136" s="7" t="s">
        <v>239</v>
      </c>
      <c r="X136" s="8">
        <v>3.65</v>
      </c>
      <c r="Y136" s="8">
        <v>2.7839999999999998</v>
      </c>
      <c r="Z136" s="8">
        <v>0.86599999999999999</v>
      </c>
      <c r="AA136" s="8">
        <v>0.96550000000000002</v>
      </c>
      <c r="AB136" s="8">
        <v>10</v>
      </c>
      <c r="AC136" s="8">
        <v>10</v>
      </c>
      <c r="AD136" s="8">
        <v>1.268</v>
      </c>
      <c r="AE136" s="8">
        <v>53</v>
      </c>
    </row>
    <row r="137" spans="16:31" x14ac:dyDescent="0.25">
      <c r="P137" s="7" t="s">
        <v>224</v>
      </c>
      <c r="Q137" s="8">
        <v>14.87</v>
      </c>
      <c r="R137" s="8">
        <v>5</v>
      </c>
      <c r="S137" s="8">
        <v>2.9750000000000001</v>
      </c>
      <c r="T137" s="8" t="s">
        <v>225</v>
      </c>
      <c r="U137" s="8" t="s">
        <v>226</v>
      </c>
      <c r="W137" s="7" t="s">
        <v>242</v>
      </c>
      <c r="X137" s="8">
        <v>3.65</v>
      </c>
      <c r="Y137" s="8">
        <v>2.444</v>
      </c>
      <c r="Z137" s="8">
        <v>1.206</v>
      </c>
      <c r="AA137" s="8">
        <v>0.96550000000000002</v>
      </c>
      <c r="AB137" s="8">
        <v>10</v>
      </c>
      <c r="AC137" s="8">
        <v>10</v>
      </c>
      <c r="AD137" s="8">
        <v>1.7669999999999999</v>
      </c>
      <c r="AE137" s="8">
        <v>53</v>
      </c>
    </row>
    <row r="138" spans="16:31" x14ac:dyDescent="0.25">
      <c r="P138" s="7" t="s">
        <v>227</v>
      </c>
      <c r="Q138" s="8">
        <v>247</v>
      </c>
      <c r="R138" s="8">
        <v>53</v>
      </c>
      <c r="S138" s="8">
        <v>4.6609999999999996</v>
      </c>
      <c r="T138" s="8"/>
      <c r="U138" s="8"/>
      <c r="W138" s="7" t="s">
        <v>245</v>
      </c>
      <c r="X138" s="8">
        <v>3.65</v>
      </c>
      <c r="Y138" s="8">
        <v>3.7309999999999999</v>
      </c>
      <c r="Z138" s="8">
        <v>-8.0769999999999995E-2</v>
      </c>
      <c r="AA138" s="8">
        <v>0.96550000000000002</v>
      </c>
      <c r="AB138" s="8">
        <v>10</v>
      </c>
      <c r="AC138" s="8">
        <v>10</v>
      </c>
      <c r="AD138" s="8">
        <v>0.1183</v>
      </c>
      <c r="AE138" s="8">
        <v>53</v>
      </c>
    </row>
    <row r="139" spans="16:31" x14ac:dyDescent="0.25">
      <c r="P139" s="7" t="s">
        <v>228</v>
      </c>
      <c r="Q139" s="8">
        <v>261.89999999999998</v>
      </c>
      <c r="R139" s="8">
        <v>58</v>
      </c>
      <c r="S139" s="8"/>
      <c r="T139" s="8"/>
      <c r="U139" s="8"/>
      <c r="W139" s="7" t="s">
        <v>248</v>
      </c>
      <c r="X139" s="8">
        <v>3.65</v>
      </c>
      <c r="Y139" s="8">
        <v>3.28</v>
      </c>
      <c r="Z139" s="8">
        <v>0.37040000000000001</v>
      </c>
      <c r="AA139" s="8">
        <v>0.96550000000000002</v>
      </c>
      <c r="AB139" s="8">
        <v>10</v>
      </c>
      <c r="AC139" s="8">
        <v>10</v>
      </c>
      <c r="AD139" s="8">
        <v>0.54249999999999998</v>
      </c>
      <c r="AE139" s="8">
        <v>53</v>
      </c>
    </row>
    <row r="140" spans="16:31" x14ac:dyDescent="0.25">
      <c r="P140" s="7"/>
      <c r="Q140" s="8"/>
      <c r="R140" s="8"/>
      <c r="S140" s="8"/>
      <c r="T140" s="8"/>
      <c r="U140" s="8"/>
      <c r="W140" s="7" t="s">
        <v>250</v>
      </c>
      <c r="X140" s="8">
        <v>2.6</v>
      </c>
      <c r="Y140" s="8">
        <v>2.7839999999999998</v>
      </c>
      <c r="Z140" s="8">
        <v>-0.184</v>
      </c>
      <c r="AA140" s="8">
        <v>0.9919</v>
      </c>
      <c r="AB140" s="8">
        <v>9</v>
      </c>
      <c r="AC140" s="8">
        <v>10</v>
      </c>
      <c r="AD140" s="8">
        <v>0.26240000000000002</v>
      </c>
      <c r="AE140" s="8">
        <v>53</v>
      </c>
    </row>
    <row r="141" spans="16:31" x14ac:dyDescent="0.25">
      <c r="P141" s="7" t="s">
        <v>172</v>
      </c>
      <c r="Q141" s="8"/>
      <c r="R141" s="8"/>
      <c r="S141" s="8"/>
      <c r="T141" s="8"/>
      <c r="U141" s="8"/>
      <c r="W141" s="7" t="s">
        <v>253</v>
      </c>
      <c r="X141" s="8">
        <v>2.6</v>
      </c>
      <c r="Y141" s="8">
        <v>2.444</v>
      </c>
      <c r="Z141" s="8">
        <v>0.15629999999999999</v>
      </c>
      <c r="AA141" s="8">
        <v>0.9919</v>
      </c>
      <c r="AB141" s="8">
        <v>9</v>
      </c>
      <c r="AC141" s="8">
        <v>10</v>
      </c>
      <c r="AD141" s="8">
        <v>0.2228</v>
      </c>
      <c r="AE141" s="8">
        <v>53</v>
      </c>
    </row>
    <row r="142" spans="16:31" x14ac:dyDescent="0.25">
      <c r="P142" s="7" t="s">
        <v>229</v>
      </c>
      <c r="Q142" s="8">
        <v>6</v>
      </c>
      <c r="R142" s="8"/>
      <c r="S142" s="8"/>
      <c r="T142" s="8"/>
      <c r="U142" s="8"/>
      <c r="W142" s="7" t="s">
        <v>256</v>
      </c>
      <c r="X142" s="8">
        <v>2.6</v>
      </c>
      <c r="Y142" s="8">
        <v>3.7309999999999999</v>
      </c>
      <c r="Z142" s="8">
        <v>-1.131</v>
      </c>
      <c r="AA142" s="8">
        <v>0.9919</v>
      </c>
      <c r="AB142" s="8">
        <v>9</v>
      </c>
      <c r="AC142" s="8">
        <v>10</v>
      </c>
      <c r="AD142" s="8">
        <v>1.6120000000000001</v>
      </c>
      <c r="AE142" s="8">
        <v>53</v>
      </c>
    </row>
    <row r="143" spans="16:31" x14ac:dyDescent="0.25">
      <c r="P143" s="7" t="s">
        <v>230</v>
      </c>
      <c r="Q143" s="8">
        <v>59</v>
      </c>
      <c r="R143" s="8"/>
      <c r="S143" s="8"/>
      <c r="T143" s="8"/>
      <c r="U143" s="8"/>
      <c r="W143" s="7" t="s">
        <v>259</v>
      </c>
      <c r="X143" s="8">
        <v>2.6</v>
      </c>
      <c r="Y143" s="8">
        <v>3.28</v>
      </c>
      <c r="Z143" s="8">
        <v>-0.67959999999999998</v>
      </c>
      <c r="AA143" s="8">
        <v>0.9919</v>
      </c>
      <c r="AB143" s="8">
        <v>9</v>
      </c>
      <c r="AC143" s="8">
        <v>10</v>
      </c>
      <c r="AD143" s="8">
        <v>0.96889999999999998</v>
      </c>
      <c r="AE143" s="8">
        <v>53</v>
      </c>
    </row>
    <row r="144" spans="16:31" x14ac:dyDescent="0.25">
      <c r="W144" s="7" t="s">
        <v>262</v>
      </c>
      <c r="X144" s="8">
        <v>2.7839999999999998</v>
      </c>
      <c r="Y144" s="8">
        <v>2.444</v>
      </c>
      <c r="Z144" s="8">
        <v>0.34029999999999999</v>
      </c>
      <c r="AA144" s="8">
        <v>0.96550000000000002</v>
      </c>
      <c r="AB144" s="8">
        <v>10</v>
      </c>
      <c r="AC144" s="8">
        <v>10</v>
      </c>
      <c r="AD144" s="8">
        <v>0.49840000000000001</v>
      </c>
      <c r="AE144" s="8">
        <v>53</v>
      </c>
    </row>
    <row r="145" spans="7:31" x14ac:dyDescent="0.25">
      <c r="W145" s="7" t="s">
        <v>265</v>
      </c>
      <c r="X145" s="8">
        <v>2.7839999999999998</v>
      </c>
      <c r="Y145" s="8">
        <v>3.7309999999999999</v>
      </c>
      <c r="Z145" s="8">
        <v>-0.94669999999999999</v>
      </c>
      <c r="AA145" s="8">
        <v>0.96550000000000002</v>
      </c>
      <c r="AB145" s="8">
        <v>10</v>
      </c>
      <c r="AC145" s="8">
        <v>10</v>
      </c>
      <c r="AD145" s="8">
        <v>1.387</v>
      </c>
      <c r="AE145" s="8">
        <v>53</v>
      </c>
    </row>
    <row r="146" spans="7:31" x14ac:dyDescent="0.25">
      <c r="W146" s="7" t="s">
        <v>268</v>
      </c>
      <c r="X146" s="8">
        <v>2.7839999999999998</v>
      </c>
      <c r="Y146" s="8">
        <v>3.28</v>
      </c>
      <c r="Z146" s="8">
        <v>-0.49559999999999998</v>
      </c>
      <c r="AA146" s="8">
        <v>0.96550000000000002</v>
      </c>
      <c r="AB146" s="8">
        <v>10</v>
      </c>
      <c r="AC146" s="8">
        <v>10</v>
      </c>
      <c r="AD146" s="8">
        <v>0.72589999999999999</v>
      </c>
      <c r="AE146" s="8">
        <v>53</v>
      </c>
    </row>
    <row r="147" spans="7:31" x14ac:dyDescent="0.25">
      <c r="W147" s="7" t="s">
        <v>271</v>
      </c>
      <c r="X147" s="8">
        <v>2.444</v>
      </c>
      <c r="Y147" s="8">
        <v>3.7309999999999999</v>
      </c>
      <c r="Z147" s="8">
        <v>-1.2869999999999999</v>
      </c>
      <c r="AA147" s="8">
        <v>0.96550000000000002</v>
      </c>
      <c r="AB147" s="8">
        <v>10</v>
      </c>
      <c r="AC147" s="8">
        <v>10</v>
      </c>
      <c r="AD147" s="8">
        <v>1.885</v>
      </c>
      <c r="AE147" s="8">
        <v>53</v>
      </c>
    </row>
    <row r="148" spans="7:31" x14ac:dyDescent="0.25">
      <c r="W148" s="7" t="s">
        <v>274</v>
      </c>
      <c r="X148" s="8">
        <v>2.444</v>
      </c>
      <c r="Y148" s="8">
        <v>3.28</v>
      </c>
      <c r="Z148" s="8">
        <v>-0.83589999999999998</v>
      </c>
      <c r="AA148" s="8">
        <v>0.96550000000000002</v>
      </c>
      <c r="AB148" s="8">
        <v>10</v>
      </c>
      <c r="AC148" s="8">
        <v>10</v>
      </c>
      <c r="AD148" s="8">
        <v>1.224</v>
      </c>
      <c r="AE148" s="8">
        <v>53</v>
      </c>
    </row>
    <row r="149" spans="7:31" x14ac:dyDescent="0.25">
      <c r="W149" s="7" t="s">
        <v>277</v>
      </c>
      <c r="X149" s="8">
        <v>3.7309999999999999</v>
      </c>
      <c r="Y149" s="8">
        <v>3.28</v>
      </c>
      <c r="Z149" s="8">
        <v>0.45119999999999999</v>
      </c>
      <c r="AA149" s="8">
        <v>0.96550000000000002</v>
      </c>
      <c r="AB149" s="8">
        <v>10</v>
      </c>
      <c r="AC149" s="8">
        <v>10</v>
      </c>
      <c r="AD149" s="8">
        <v>0.66080000000000005</v>
      </c>
      <c r="AE149" s="8">
        <v>53</v>
      </c>
    </row>
    <row r="155" spans="7:31" x14ac:dyDescent="0.25">
      <c r="P155" s="7" t="s">
        <v>21</v>
      </c>
      <c r="Q155" s="8" t="s">
        <v>22</v>
      </c>
      <c r="R155" s="8"/>
      <c r="S155" s="8"/>
      <c r="T155" s="8"/>
      <c r="U155" s="8"/>
      <c r="W155" s="7" t="s">
        <v>177</v>
      </c>
      <c r="X155" s="8">
        <v>1</v>
      </c>
      <c r="Y155" s="8"/>
      <c r="Z155" s="8"/>
      <c r="AA155" s="8"/>
      <c r="AB155" s="8"/>
      <c r="AC155" s="8"/>
      <c r="AD155" s="8"/>
      <c r="AE155" s="8"/>
    </row>
    <row r="156" spans="7:31" x14ac:dyDescent="0.25">
      <c r="G156" s="10"/>
      <c r="H156" s="10"/>
      <c r="I156" s="10"/>
      <c r="J156" s="10" t="s">
        <v>141</v>
      </c>
      <c r="K156" s="10"/>
      <c r="L156" s="11"/>
      <c r="P156" s="7" t="s">
        <v>212</v>
      </c>
      <c r="Q156" s="8" t="s">
        <v>213</v>
      </c>
      <c r="R156" s="8"/>
      <c r="S156" s="8"/>
      <c r="T156" s="8"/>
      <c r="U156" s="8"/>
      <c r="W156" s="7" t="s">
        <v>178</v>
      </c>
      <c r="X156" s="8">
        <v>15</v>
      </c>
      <c r="Y156" s="8"/>
      <c r="Z156" s="8"/>
      <c r="AA156" s="8"/>
      <c r="AB156" s="8"/>
      <c r="AC156" s="8"/>
      <c r="AD156" s="8"/>
      <c r="AE156" s="8"/>
    </row>
    <row r="157" spans="7:31" x14ac:dyDescent="0.25">
      <c r="G157" s="1">
        <v>0</v>
      </c>
      <c r="H157" s="1">
        <v>1</v>
      </c>
      <c r="I157" s="1">
        <v>2</v>
      </c>
      <c r="J157" s="1">
        <v>6</v>
      </c>
      <c r="K157" s="1">
        <v>12</v>
      </c>
      <c r="L157" s="13">
        <v>24</v>
      </c>
      <c r="P157" s="7"/>
      <c r="Q157" s="8"/>
      <c r="R157" s="8"/>
      <c r="S157" s="8"/>
      <c r="T157" s="8"/>
      <c r="U157" s="8"/>
      <c r="W157" s="7" t="s">
        <v>150</v>
      </c>
      <c r="X157" s="8">
        <v>0.05</v>
      </c>
      <c r="Y157" s="8"/>
      <c r="Z157" s="8"/>
      <c r="AA157" s="8"/>
      <c r="AB157" s="8"/>
      <c r="AC157" s="8"/>
      <c r="AD157" s="8"/>
      <c r="AE157" s="8"/>
    </row>
    <row r="158" spans="7:31" x14ac:dyDescent="0.25">
      <c r="G158" s="1">
        <v>3.1666666666666603</v>
      </c>
      <c r="H158" s="1">
        <v>0.26666666666666777</v>
      </c>
      <c r="I158" s="1">
        <v>2.1249999999999956</v>
      </c>
      <c r="J158" s="1">
        <v>38.03846153846154</v>
      </c>
      <c r="K158" s="1">
        <v>4.5</v>
      </c>
      <c r="L158" s="1">
        <v>6.1553398058252435</v>
      </c>
      <c r="P158" s="7" t="s">
        <v>214</v>
      </c>
      <c r="Q158" s="8"/>
      <c r="R158" s="8"/>
      <c r="S158" s="8"/>
      <c r="T158" s="8"/>
      <c r="U158" s="8"/>
      <c r="W158" s="7"/>
      <c r="X158" s="8"/>
      <c r="Y158" s="8"/>
      <c r="Z158" s="8"/>
      <c r="AA158" s="8"/>
      <c r="AB158" s="8"/>
      <c r="AC158" s="8"/>
      <c r="AD158" s="8"/>
      <c r="AE158" s="8"/>
    </row>
    <row r="159" spans="7:31" x14ac:dyDescent="0.25">
      <c r="G159" s="1">
        <v>5.8333333333333197</v>
      </c>
      <c r="H159" s="1">
        <v>2.7666666666666653</v>
      </c>
      <c r="I159" s="1">
        <v>1.7777777777777728</v>
      </c>
      <c r="J159" s="1">
        <v>37.480769230769226</v>
      </c>
      <c r="K159" s="1">
        <v>17.72115384615385</v>
      </c>
      <c r="L159" s="1">
        <v>6.1747572815533971</v>
      </c>
      <c r="P159" s="7" t="s">
        <v>5</v>
      </c>
      <c r="Q159" s="8">
        <v>16.239999999999998</v>
      </c>
      <c r="R159" s="8"/>
      <c r="S159" s="8"/>
      <c r="T159" s="8"/>
      <c r="U159" s="8"/>
      <c r="W159" s="7" t="s">
        <v>234</v>
      </c>
      <c r="X159" s="8" t="s">
        <v>235</v>
      </c>
      <c r="Y159" s="8" t="s">
        <v>181</v>
      </c>
      <c r="Z159" s="8" t="s">
        <v>182</v>
      </c>
      <c r="AA159" s="8" t="s">
        <v>183</v>
      </c>
      <c r="AB159" s="8" t="s">
        <v>184</v>
      </c>
      <c r="AC159" s="8"/>
      <c r="AD159" s="8"/>
      <c r="AE159" s="8"/>
    </row>
    <row r="160" spans="7:31" x14ac:dyDescent="0.25">
      <c r="G160" s="1">
        <v>0</v>
      </c>
      <c r="H160" s="1">
        <v>1.4333333333333309</v>
      </c>
      <c r="I160" s="1">
        <v>1.8958333333333317</v>
      </c>
      <c r="J160" s="1">
        <v>41.884615384615394</v>
      </c>
      <c r="K160" s="1">
        <v>22.75</v>
      </c>
      <c r="L160" s="1">
        <v>8.9708737864077701</v>
      </c>
      <c r="P160" s="7" t="s">
        <v>23</v>
      </c>
      <c r="Q160" s="8" t="s">
        <v>155</v>
      </c>
      <c r="R160" s="8"/>
      <c r="S160" s="8"/>
      <c r="T160" s="8"/>
      <c r="U160" s="8"/>
      <c r="W160" s="7" t="s">
        <v>236</v>
      </c>
      <c r="X160" s="8">
        <v>1.272</v>
      </c>
      <c r="Y160" s="8" t="s">
        <v>237</v>
      </c>
      <c r="Z160" s="8" t="s">
        <v>187</v>
      </c>
      <c r="AA160" s="8" t="s">
        <v>188</v>
      </c>
      <c r="AB160" s="8">
        <v>0.99860000000000004</v>
      </c>
      <c r="AC160" s="8" t="s">
        <v>238</v>
      </c>
      <c r="AD160" s="8"/>
      <c r="AE160" s="8"/>
    </row>
    <row r="161" spans="4:31" x14ac:dyDescent="0.25">
      <c r="D161" s="1" t="s">
        <v>231</v>
      </c>
      <c r="G161" s="1">
        <v>8.8333333333333233</v>
      </c>
      <c r="H161" s="1">
        <v>2.0999999999999983</v>
      </c>
      <c r="I161" s="1">
        <v>8.8055555555555536</v>
      </c>
      <c r="J161" s="1">
        <v>15.846153846153845</v>
      </c>
      <c r="K161" s="1">
        <v>5.6057692307692299</v>
      </c>
      <c r="L161" s="1">
        <v>14.796116504854366</v>
      </c>
      <c r="P161" s="7" t="s">
        <v>24</v>
      </c>
      <c r="Q161" s="8" t="s">
        <v>156</v>
      </c>
      <c r="R161" s="8"/>
      <c r="S161" s="8"/>
      <c r="T161" s="8"/>
      <c r="U161" s="8"/>
      <c r="W161" s="7" t="s">
        <v>239</v>
      </c>
      <c r="X161" s="8">
        <v>-4.7030000000000003</v>
      </c>
      <c r="Y161" s="8" t="s">
        <v>240</v>
      </c>
      <c r="Z161" s="8" t="s">
        <v>187</v>
      </c>
      <c r="AA161" s="8" t="s">
        <v>188</v>
      </c>
      <c r="AB161" s="8">
        <v>0.64970000000000006</v>
      </c>
      <c r="AC161" s="8" t="s">
        <v>241</v>
      </c>
      <c r="AD161" s="8"/>
      <c r="AE161" s="8"/>
    </row>
    <row r="162" spans="4:31" x14ac:dyDescent="0.25">
      <c r="G162" s="1">
        <v>8.8333333333333233</v>
      </c>
      <c r="H162" s="1">
        <v>1.7666666666666646</v>
      </c>
      <c r="I162" s="1">
        <v>3.5972222222222223</v>
      </c>
      <c r="J162" s="1">
        <v>11.038461538461538</v>
      </c>
      <c r="K162" s="1">
        <v>5.5096153846153797</v>
      </c>
      <c r="L162" s="1">
        <v>6.9611650485436876</v>
      </c>
      <c r="P162" s="7" t="s">
        <v>215</v>
      </c>
      <c r="Q162" s="8" t="s">
        <v>25</v>
      </c>
      <c r="R162" s="8"/>
      <c r="S162" s="8"/>
      <c r="T162" s="8"/>
      <c r="U162" s="8"/>
      <c r="W162" s="7" t="s">
        <v>242</v>
      </c>
      <c r="X162" s="8">
        <v>-23.1</v>
      </c>
      <c r="Y162" s="8" t="s">
        <v>243</v>
      </c>
      <c r="Z162" s="8" t="s">
        <v>25</v>
      </c>
      <c r="AA162" s="8" t="s">
        <v>156</v>
      </c>
      <c r="AB162" s="8" t="s">
        <v>155</v>
      </c>
      <c r="AC162" s="8" t="s">
        <v>244</v>
      </c>
      <c r="AD162" s="8"/>
      <c r="AE162" s="8"/>
    </row>
    <row r="163" spans="4:31" x14ac:dyDescent="0.25">
      <c r="G163" s="1">
        <v>0</v>
      </c>
      <c r="H163" s="1">
        <v>2.0999999999999983</v>
      </c>
      <c r="I163" s="1">
        <v>3.2847222222222219</v>
      </c>
      <c r="J163" s="1">
        <v>31.69230769230769</v>
      </c>
      <c r="K163" s="1">
        <v>7.9423076923076934</v>
      </c>
      <c r="L163" s="1">
        <v>8.2135922330097095</v>
      </c>
      <c r="P163" s="7" t="s">
        <v>216</v>
      </c>
      <c r="Q163" s="8">
        <v>0.60499999999999998</v>
      </c>
      <c r="R163" s="8"/>
      <c r="S163" s="8"/>
      <c r="T163" s="8"/>
      <c r="U163" s="8"/>
      <c r="W163" s="7" t="s">
        <v>245</v>
      </c>
      <c r="X163" s="8">
        <v>-10.27</v>
      </c>
      <c r="Y163" s="8" t="s">
        <v>246</v>
      </c>
      <c r="Z163" s="8" t="s">
        <v>25</v>
      </c>
      <c r="AA163" s="8" t="s">
        <v>20</v>
      </c>
      <c r="AB163" s="8">
        <v>1.8599999999999998E-2</v>
      </c>
      <c r="AC163" s="8" t="s">
        <v>247</v>
      </c>
      <c r="AD163" s="8"/>
      <c r="AE163" s="8"/>
    </row>
    <row r="164" spans="4:31" x14ac:dyDescent="0.25">
      <c r="G164" s="1">
        <v>0</v>
      </c>
      <c r="H164" s="1">
        <v>1.7666666666666646</v>
      </c>
      <c r="I164" s="1">
        <v>2.333333333333329</v>
      </c>
      <c r="J164" s="1">
        <v>26.567307692307693</v>
      </c>
      <c r="K164" s="1">
        <v>20.990384615384613</v>
      </c>
      <c r="L164" s="1">
        <v>8.5631067961165055</v>
      </c>
      <c r="P164" s="7"/>
      <c r="Q164" s="8"/>
      <c r="R164" s="8"/>
      <c r="S164" s="8"/>
      <c r="T164" s="8"/>
      <c r="U164" s="8"/>
      <c r="W164" s="7" t="s">
        <v>248</v>
      </c>
      <c r="X164" s="8">
        <v>-6.2080000000000002</v>
      </c>
      <c r="Y164" s="8" t="s">
        <v>249</v>
      </c>
      <c r="Z164" s="8" t="s">
        <v>187</v>
      </c>
      <c r="AA164" s="8" t="s">
        <v>188</v>
      </c>
      <c r="AB164" s="8">
        <v>0.34860000000000002</v>
      </c>
      <c r="AC164" s="8" t="s">
        <v>213</v>
      </c>
      <c r="AD164" s="8"/>
      <c r="AE164" s="8"/>
    </row>
    <row r="165" spans="4:31" x14ac:dyDescent="0.25">
      <c r="G165" s="1">
        <v>0</v>
      </c>
      <c r="I165" s="1">
        <v>24.430555555555554</v>
      </c>
      <c r="J165" s="1">
        <v>27.480769230769226</v>
      </c>
      <c r="K165" s="1">
        <v>21.21153846153846</v>
      </c>
      <c r="L165" s="1">
        <v>11.718446601941748</v>
      </c>
      <c r="P165" s="7" t="s">
        <v>217</v>
      </c>
      <c r="Q165" s="8"/>
      <c r="R165" s="8"/>
      <c r="S165" s="8"/>
      <c r="T165" s="8"/>
      <c r="U165" s="8"/>
      <c r="W165" s="7" t="s">
        <v>250</v>
      </c>
      <c r="X165" s="8">
        <v>-5.976</v>
      </c>
      <c r="Y165" s="8" t="s">
        <v>251</v>
      </c>
      <c r="Z165" s="8" t="s">
        <v>187</v>
      </c>
      <c r="AA165" s="8" t="s">
        <v>188</v>
      </c>
      <c r="AB165" s="8">
        <v>0.42159999999999997</v>
      </c>
      <c r="AC165" s="8" t="s">
        <v>252</v>
      </c>
      <c r="AD165" s="8"/>
      <c r="AE165" s="8"/>
    </row>
    <row r="166" spans="4:31" x14ac:dyDescent="0.25">
      <c r="G166" s="1">
        <v>4.4999999999999991</v>
      </c>
      <c r="H166" s="1">
        <v>8.5999999999999979</v>
      </c>
      <c r="I166" s="1">
        <v>24.361111111111114</v>
      </c>
      <c r="J166" s="1">
        <v>13.53846153846154</v>
      </c>
      <c r="K166" s="1">
        <v>17.942307692307697</v>
      </c>
      <c r="L166" s="1">
        <v>15.456310679611651</v>
      </c>
      <c r="P166" s="7" t="s">
        <v>163</v>
      </c>
      <c r="Q166" s="8" t="s">
        <v>232</v>
      </c>
      <c r="R166" s="8"/>
      <c r="S166" s="8"/>
      <c r="T166" s="8"/>
      <c r="U166" s="8"/>
      <c r="W166" s="7" t="s">
        <v>253</v>
      </c>
      <c r="X166" s="8">
        <v>-24.37</v>
      </c>
      <c r="Y166" s="8" t="s">
        <v>254</v>
      </c>
      <c r="Z166" s="8" t="s">
        <v>25</v>
      </c>
      <c r="AA166" s="8" t="s">
        <v>156</v>
      </c>
      <c r="AB166" s="8" t="s">
        <v>155</v>
      </c>
      <c r="AC166" s="8" t="s">
        <v>255</v>
      </c>
      <c r="AD166" s="8"/>
      <c r="AE166" s="8"/>
    </row>
    <row r="167" spans="4:31" x14ac:dyDescent="0.25">
      <c r="G167" s="15">
        <v>5.3333333333333197</v>
      </c>
      <c r="H167" s="15">
        <v>0.59999999999999676</v>
      </c>
      <c r="I167" s="15">
        <v>10.923611111111114</v>
      </c>
      <c r="J167" s="15">
        <v>23.92307692307693</v>
      </c>
      <c r="K167" s="15">
        <v>15.05769230769231</v>
      </c>
      <c r="L167" s="1">
        <v>11.572815533980583</v>
      </c>
      <c r="P167" s="7" t="s">
        <v>23</v>
      </c>
      <c r="Q167" s="8">
        <v>1.1299999999999999E-2</v>
      </c>
      <c r="R167" s="8"/>
      <c r="S167" s="8"/>
      <c r="T167" s="8"/>
      <c r="U167" s="8"/>
      <c r="W167" s="7" t="s">
        <v>256</v>
      </c>
      <c r="X167" s="8">
        <v>-11.55</v>
      </c>
      <c r="Y167" s="8" t="s">
        <v>257</v>
      </c>
      <c r="Z167" s="8" t="s">
        <v>25</v>
      </c>
      <c r="AA167" s="8" t="s">
        <v>219</v>
      </c>
      <c r="AB167" s="8">
        <v>7.6E-3</v>
      </c>
      <c r="AC167" s="8" t="s">
        <v>258</v>
      </c>
      <c r="AD167" s="8"/>
      <c r="AE167" s="8"/>
    </row>
    <row r="168" spans="4:31" x14ac:dyDescent="0.25">
      <c r="P168" s="7" t="s">
        <v>24</v>
      </c>
      <c r="Q168" s="8" t="s">
        <v>20</v>
      </c>
      <c r="R168" s="8"/>
      <c r="S168" s="8"/>
      <c r="T168" s="8"/>
      <c r="U168" s="8"/>
      <c r="W168" s="7" t="s">
        <v>259</v>
      </c>
      <c r="X168" s="8">
        <v>-7.48</v>
      </c>
      <c r="Y168" s="8" t="s">
        <v>260</v>
      </c>
      <c r="Z168" s="8" t="s">
        <v>187</v>
      </c>
      <c r="AA168" s="8" t="s">
        <v>188</v>
      </c>
      <c r="AB168" s="8">
        <v>0.18859999999999999</v>
      </c>
      <c r="AC168" s="8" t="s">
        <v>261</v>
      </c>
      <c r="AD168" s="8"/>
      <c r="AE168" s="8"/>
    </row>
    <row r="169" spans="4:31" x14ac:dyDescent="0.25">
      <c r="P169" s="7" t="s">
        <v>220</v>
      </c>
      <c r="Q169" s="8" t="s">
        <v>25</v>
      </c>
      <c r="R169" s="8"/>
      <c r="S169" s="8"/>
      <c r="T169" s="8"/>
      <c r="U169" s="8"/>
      <c r="W169" s="7" t="s">
        <v>262</v>
      </c>
      <c r="X169" s="8">
        <v>-18.399999999999999</v>
      </c>
      <c r="Y169" s="8" t="s">
        <v>263</v>
      </c>
      <c r="Z169" s="8" t="s">
        <v>25</v>
      </c>
      <c r="AA169" s="8" t="s">
        <v>156</v>
      </c>
      <c r="AB169" s="8" t="s">
        <v>155</v>
      </c>
      <c r="AC169" s="8" t="s">
        <v>264</v>
      </c>
      <c r="AD169" s="8"/>
      <c r="AE169" s="8"/>
    </row>
    <row r="170" spans="4:31" x14ac:dyDescent="0.25">
      <c r="P170" s="7"/>
      <c r="Q170" s="8"/>
      <c r="R170" s="8"/>
      <c r="S170" s="8"/>
      <c r="T170" s="8"/>
      <c r="U170" s="8"/>
      <c r="W170" s="7" t="s">
        <v>265</v>
      </c>
      <c r="X170" s="8">
        <v>-5.57</v>
      </c>
      <c r="Y170" s="8" t="s">
        <v>266</v>
      </c>
      <c r="Z170" s="8" t="s">
        <v>187</v>
      </c>
      <c r="AA170" s="8" t="s">
        <v>188</v>
      </c>
      <c r="AB170" s="8">
        <v>0.47049999999999997</v>
      </c>
      <c r="AC170" s="8" t="s">
        <v>267</v>
      </c>
      <c r="AD170" s="8"/>
      <c r="AE170" s="8"/>
    </row>
    <row r="171" spans="4:31" x14ac:dyDescent="0.25">
      <c r="P171" s="7" t="s">
        <v>221</v>
      </c>
      <c r="Q171" s="8"/>
      <c r="R171" s="8"/>
      <c r="S171" s="8"/>
      <c r="T171" s="8"/>
      <c r="U171" s="8"/>
      <c r="W171" s="7" t="s">
        <v>268</v>
      </c>
      <c r="X171" s="8">
        <v>-1.5049999999999999</v>
      </c>
      <c r="Y171" s="8" t="s">
        <v>269</v>
      </c>
      <c r="Z171" s="8" t="s">
        <v>187</v>
      </c>
      <c r="AA171" s="8" t="s">
        <v>188</v>
      </c>
      <c r="AB171" s="8">
        <v>0.99639999999999995</v>
      </c>
      <c r="AC171" s="8" t="s">
        <v>270</v>
      </c>
      <c r="AD171" s="8"/>
      <c r="AE171" s="8"/>
    </row>
    <row r="172" spans="4:31" x14ac:dyDescent="0.25">
      <c r="P172" s="7" t="s">
        <v>222</v>
      </c>
      <c r="Q172" s="8">
        <v>26.12</v>
      </c>
      <c r="R172" s="8"/>
      <c r="S172" s="8"/>
      <c r="T172" s="8"/>
      <c r="U172" s="8"/>
      <c r="W172" s="7" t="s">
        <v>271</v>
      </c>
      <c r="X172" s="8">
        <v>12.83</v>
      </c>
      <c r="Y172" s="8" t="s">
        <v>272</v>
      </c>
      <c r="Z172" s="8" t="s">
        <v>25</v>
      </c>
      <c r="AA172" s="8" t="s">
        <v>219</v>
      </c>
      <c r="AB172" s="8">
        <v>1.6000000000000001E-3</v>
      </c>
      <c r="AC172" s="8" t="s">
        <v>273</v>
      </c>
      <c r="AD172" s="8"/>
      <c r="AE172" s="8"/>
    </row>
    <row r="173" spans="4:31" x14ac:dyDescent="0.25">
      <c r="P173" s="7" t="s">
        <v>23</v>
      </c>
      <c r="Q173" s="8" t="s">
        <v>155</v>
      </c>
      <c r="R173" s="8"/>
      <c r="S173" s="8"/>
      <c r="T173" s="8"/>
      <c r="U173" s="8"/>
      <c r="W173" s="7" t="s">
        <v>274</v>
      </c>
      <c r="X173" s="8">
        <v>16.89</v>
      </c>
      <c r="Y173" s="8" t="s">
        <v>275</v>
      </c>
      <c r="Z173" s="8" t="s">
        <v>25</v>
      </c>
      <c r="AA173" s="8" t="s">
        <v>156</v>
      </c>
      <c r="AB173" s="8" t="s">
        <v>155</v>
      </c>
      <c r="AC173" s="8" t="s">
        <v>276</v>
      </c>
      <c r="AD173" s="8"/>
      <c r="AE173" s="8"/>
    </row>
    <row r="174" spans="4:31" x14ac:dyDescent="0.25">
      <c r="P174" s="7" t="s">
        <v>24</v>
      </c>
      <c r="Q174" s="8" t="s">
        <v>156</v>
      </c>
      <c r="R174" s="8"/>
      <c r="S174" s="8"/>
      <c r="T174" s="8"/>
      <c r="U174" s="8"/>
      <c r="W174" s="7" t="s">
        <v>277</v>
      </c>
      <c r="X174" s="8">
        <v>4.0650000000000004</v>
      </c>
      <c r="Y174" s="8" t="s">
        <v>278</v>
      </c>
      <c r="Z174" s="8" t="s">
        <v>187</v>
      </c>
      <c r="AA174" s="8" t="s">
        <v>188</v>
      </c>
      <c r="AB174" s="8">
        <v>0.77359999999999995</v>
      </c>
      <c r="AC174" s="8" t="s">
        <v>279</v>
      </c>
      <c r="AD174" s="8"/>
      <c r="AE174" s="8"/>
    </row>
    <row r="175" spans="4:31" x14ac:dyDescent="0.25">
      <c r="P175" s="7" t="s">
        <v>220</v>
      </c>
      <c r="Q175" s="8" t="s">
        <v>25</v>
      </c>
      <c r="R175" s="8"/>
      <c r="S175" s="8"/>
      <c r="T175" s="8"/>
      <c r="U175" s="8"/>
      <c r="W175" s="7"/>
      <c r="X175" s="8"/>
      <c r="Y175" s="8"/>
      <c r="Z175" s="8"/>
      <c r="AA175" s="8"/>
      <c r="AB175" s="8"/>
      <c r="AC175" s="8"/>
      <c r="AD175" s="8"/>
      <c r="AE175" s="8"/>
    </row>
    <row r="176" spans="4:31" x14ac:dyDescent="0.25">
      <c r="P176" s="7"/>
      <c r="Q176" s="8"/>
      <c r="R176" s="8"/>
      <c r="S176" s="8"/>
      <c r="T176" s="8"/>
      <c r="U176" s="8"/>
      <c r="W176" s="7" t="s">
        <v>194</v>
      </c>
      <c r="X176" s="8" t="s">
        <v>280</v>
      </c>
      <c r="Y176" s="8" t="s">
        <v>281</v>
      </c>
      <c r="Z176" s="8" t="s">
        <v>235</v>
      </c>
      <c r="AA176" s="8" t="s">
        <v>197</v>
      </c>
      <c r="AB176" s="8" t="s">
        <v>282</v>
      </c>
      <c r="AC176" s="8" t="s">
        <v>283</v>
      </c>
      <c r="AD176" s="8" t="s">
        <v>284</v>
      </c>
      <c r="AE176" s="8" t="s">
        <v>161</v>
      </c>
    </row>
    <row r="177" spans="16:33" x14ac:dyDescent="0.25">
      <c r="P177" s="7" t="s">
        <v>159</v>
      </c>
      <c r="Q177" s="8" t="s">
        <v>223</v>
      </c>
      <c r="R177" s="8" t="s">
        <v>161</v>
      </c>
      <c r="S177" s="8" t="s">
        <v>162</v>
      </c>
      <c r="T177" s="8" t="s">
        <v>163</v>
      </c>
      <c r="U177" s="8" t="s">
        <v>23</v>
      </c>
      <c r="W177" s="7" t="s">
        <v>236</v>
      </c>
      <c r="X177" s="8">
        <v>3.65</v>
      </c>
      <c r="Y177" s="8">
        <v>2.3780000000000001</v>
      </c>
      <c r="Z177" s="8">
        <v>1.272</v>
      </c>
      <c r="AA177" s="8">
        <v>3.1680000000000001</v>
      </c>
      <c r="AB177" s="8">
        <v>10</v>
      </c>
      <c r="AC177" s="8">
        <v>9</v>
      </c>
      <c r="AD177" s="8">
        <v>0.56799999999999995</v>
      </c>
      <c r="AE177" s="8">
        <v>53</v>
      </c>
    </row>
    <row r="178" spans="16:33" x14ac:dyDescent="0.25">
      <c r="P178" s="7" t="s">
        <v>224</v>
      </c>
      <c r="Q178" s="8">
        <v>3858</v>
      </c>
      <c r="R178" s="8">
        <v>5</v>
      </c>
      <c r="S178" s="8">
        <v>771.6</v>
      </c>
      <c r="T178" s="8" t="s">
        <v>233</v>
      </c>
      <c r="U178" s="8" t="s">
        <v>164</v>
      </c>
      <c r="W178" s="7" t="s">
        <v>239</v>
      </c>
      <c r="X178" s="8">
        <v>3.65</v>
      </c>
      <c r="Y178" s="8">
        <v>8.3529999999999998</v>
      </c>
      <c r="Z178" s="8">
        <v>-4.7030000000000003</v>
      </c>
      <c r="AA178" s="8">
        <v>3.0830000000000002</v>
      </c>
      <c r="AB178" s="8">
        <v>10</v>
      </c>
      <c r="AC178" s="8">
        <v>10</v>
      </c>
      <c r="AD178" s="8">
        <v>2.157</v>
      </c>
      <c r="AE178" s="8">
        <v>53</v>
      </c>
    </row>
    <row r="179" spans="16:33" x14ac:dyDescent="0.25">
      <c r="P179" s="7" t="s">
        <v>227</v>
      </c>
      <c r="Q179" s="8">
        <v>2519</v>
      </c>
      <c r="R179" s="8">
        <v>53</v>
      </c>
      <c r="S179" s="8">
        <v>47.53</v>
      </c>
      <c r="T179" s="8"/>
      <c r="U179" s="8"/>
      <c r="W179" s="7" t="s">
        <v>242</v>
      </c>
      <c r="X179" s="8">
        <v>3.65</v>
      </c>
      <c r="Y179" s="8">
        <v>26.75</v>
      </c>
      <c r="Z179" s="8">
        <v>-23.1</v>
      </c>
      <c r="AA179" s="8">
        <v>3.0830000000000002</v>
      </c>
      <c r="AB179" s="8">
        <v>10</v>
      </c>
      <c r="AC179" s="8">
        <v>10</v>
      </c>
      <c r="AD179" s="8">
        <v>10.6</v>
      </c>
      <c r="AE179" s="8">
        <v>53</v>
      </c>
    </row>
    <row r="180" spans="16:33" x14ac:dyDescent="0.25">
      <c r="P180" s="7" t="s">
        <v>228</v>
      </c>
      <c r="Q180" s="8">
        <v>6377</v>
      </c>
      <c r="R180" s="8">
        <v>58</v>
      </c>
      <c r="S180" s="8"/>
      <c r="T180" s="8"/>
      <c r="U180" s="8"/>
      <c r="W180" s="7" t="s">
        <v>245</v>
      </c>
      <c r="X180" s="8">
        <v>3.65</v>
      </c>
      <c r="Y180" s="8">
        <v>13.92</v>
      </c>
      <c r="Z180" s="8">
        <v>-10.27</v>
      </c>
      <c r="AA180" s="8">
        <v>3.0830000000000002</v>
      </c>
      <c r="AB180" s="8">
        <v>10</v>
      </c>
      <c r="AC180" s="8">
        <v>10</v>
      </c>
      <c r="AD180" s="8">
        <v>4.7119999999999997</v>
      </c>
      <c r="AE180" s="8">
        <v>53</v>
      </c>
    </row>
    <row r="181" spans="16:33" x14ac:dyDescent="0.25">
      <c r="P181" s="7"/>
      <c r="Q181" s="8"/>
      <c r="R181" s="8"/>
      <c r="S181" s="8"/>
      <c r="T181" s="8"/>
      <c r="U181" s="8"/>
      <c r="W181" s="7" t="s">
        <v>248</v>
      </c>
      <c r="X181" s="8">
        <v>3.65</v>
      </c>
      <c r="Y181" s="8">
        <v>9.8580000000000005</v>
      </c>
      <c r="Z181" s="8">
        <v>-6.2080000000000002</v>
      </c>
      <c r="AA181" s="8">
        <v>3.0830000000000002</v>
      </c>
      <c r="AB181" s="8">
        <v>10</v>
      </c>
      <c r="AC181" s="8">
        <v>10</v>
      </c>
      <c r="AD181" s="8">
        <v>2.8479999999999999</v>
      </c>
      <c r="AE181" s="8">
        <v>53</v>
      </c>
    </row>
    <row r="182" spans="16:33" x14ac:dyDescent="0.25">
      <c r="P182" s="7" t="s">
        <v>172</v>
      </c>
      <c r="Q182" s="8"/>
      <c r="R182" s="8"/>
      <c r="S182" s="8"/>
      <c r="T182" s="8"/>
      <c r="U182" s="8"/>
      <c r="W182" s="7" t="s">
        <v>250</v>
      </c>
      <c r="X182" s="8">
        <v>2.3780000000000001</v>
      </c>
      <c r="Y182" s="8">
        <v>8.3529999999999998</v>
      </c>
      <c r="Z182" s="8">
        <v>-5.976</v>
      </c>
      <c r="AA182" s="8">
        <v>3.1680000000000001</v>
      </c>
      <c r="AB182" s="8">
        <v>9</v>
      </c>
      <c r="AC182" s="8">
        <v>10</v>
      </c>
      <c r="AD182" s="8">
        <v>2.6680000000000001</v>
      </c>
      <c r="AE182" s="8">
        <v>53</v>
      </c>
    </row>
    <row r="183" spans="16:33" x14ac:dyDescent="0.25">
      <c r="P183" s="7" t="s">
        <v>229</v>
      </c>
      <c r="Q183" s="8">
        <v>6</v>
      </c>
      <c r="R183" s="8"/>
      <c r="S183" s="8"/>
      <c r="T183" s="8"/>
      <c r="U183" s="8"/>
      <c r="W183" s="7" t="s">
        <v>253</v>
      </c>
      <c r="X183" s="8">
        <v>2.3780000000000001</v>
      </c>
      <c r="Y183" s="8">
        <v>26.75</v>
      </c>
      <c r="Z183" s="8">
        <v>-24.37</v>
      </c>
      <c r="AA183" s="8">
        <v>3.1680000000000001</v>
      </c>
      <c r="AB183" s="8">
        <v>9</v>
      </c>
      <c r="AC183" s="8">
        <v>10</v>
      </c>
      <c r="AD183" s="8">
        <v>10.88</v>
      </c>
      <c r="AE183" s="8">
        <v>53</v>
      </c>
    </row>
    <row r="184" spans="16:33" x14ac:dyDescent="0.25">
      <c r="P184" s="7" t="s">
        <v>230</v>
      </c>
      <c r="Q184" s="8">
        <v>59</v>
      </c>
      <c r="R184" s="8"/>
      <c r="S184" s="8"/>
      <c r="T184" s="8"/>
      <c r="U184" s="8"/>
      <c r="W184" s="7" t="s">
        <v>256</v>
      </c>
      <c r="X184" s="8">
        <v>2.3780000000000001</v>
      </c>
      <c r="Y184" s="8">
        <v>13.92</v>
      </c>
      <c r="Z184" s="8">
        <v>-11.55</v>
      </c>
      <c r="AA184" s="8">
        <v>3.1680000000000001</v>
      </c>
      <c r="AB184" s="8">
        <v>9</v>
      </c>
      <c r="AC184" s="8">
        <v>10</v>
      </c>
      <c r="AD184" s="8">
        <v>5.1550000000000002</v>
      </c>
      <c r="AE184" s="8">
        <v>53</v>
      </c>
    </row>
    <row r="185" spans="16:33" x14ac:dyDescent="0.25">
      <c r="P185" s="7"/>
      <c r="Q185" s="8"/>
      <c r="R185" s="8"/>
      <c r="S185" s="8"/>
      <c r="T185" s="8"/>
      <c r="U185" s="8"/>
      <c r="W185" s="7" t="s">
        <v>259</v>
      </c>
      <c r="X185" s="8">
        <v>2.3780000000000001</v>
      </c>
      <c r="Y185" s="8">
        <v>9.8580000000000005</v>
      </c>
      <c r="Z185" s="8">
        <v>-7.48</v>
      </c>
      <c r="AA185" s="8">
        <v>3.1680000000000001</v>
      </c>
      <c r="AB185" s="8">
        <v>9</v>
      </c>
      <c r="AC185" s="8">
        <v>10</v>
      </c>
      <c r="AD185" s="8">
        <v>3.34</v>
      </c>
      <c r="AE185" s="8">
        <v>53</v>
      </c>
    </row>
    <row r="186" spans="16:33" x14ac:dyDescent="0.25">
      <c r="W186" s="7" t="s">
        <v>262</v>
      </c>
      <c r="X186" s="8">
        <v>8.3529999999999998</v>
      </c>
      <c r="Y186" s="8">
        <v>26.75</v>
      </c>
      <c r="Z186" s="8">
        <v>-18.399999999999999</v>
      </c>
      <c r="AA186" s="8">
        <v>3.0830000000000002</v>
      </c>
      <c r="AB186" s="8">
        <v>10</v>
      </c>
      <c r="AC186" s="8">
        <v>10</v>
      </c>
      <c r="AD186" s="8">
        <v>8.4380000000000006</v>
      </c>
      <c r="AE186" s="8">
        <v>53</v>
      </c>
    </row>
    <row r="187" spans="16:33" x14ac:dyDescent="0.25">
      <c r="W187" s="7" t="s">
        <v>265</v>
      </c>
      <c r="X187" s="8">
        <v>8.3529999999999998</v>
      </c>
      <c r="Y187" s="8">
        <v>13.92</v>
      </c>
      <c r="Z187" s="8">
        <v>-5.57</v>
      </c>
      <c r="AA187" s="8">
        <v>3.0830000000000002</v>
      </c>
      <c r="AB187" s="8">
        <v>10</v>
      </c>
      <c r="AC187" s="8">
        <v>10</v>
      </c>
      <c r="AD187" s="8">
        <v>2.5550000000000002</v>
      </c>
      <c r="AE187" s="8">
        <v>53</v>
      </c>
    </row>
    <row r="188" spans="16:33" x14ac:dyDescent="0.25">
      <c r="W188" s="7" t="s">
        <v>268</v>
      </c>
      <c r="X188" s="8">
        <v>8.3529999999999998</v>
      </c>
      <c r="Y188" s="8">
        <v>9.8580000000000005</v>
      </c>
      <c r="Z188" s="8">
        <v>-1.5049999999999999</v>
      </c>
      <c r="AA188" s="8">
        <v>3.0830000000000002</v>
      </c>
      <c r="AB188" s="8">
        <v>10</v>
      </c>
      <c r="AC188" s="8">
        <v>10</v>
      </c>
      <c r="AD188" s="8">
        <v>0.69020000000000004</v>
      </c>
      <c r="AE188" s="8">
        <v>53</v>
      </c>
    </row>
    <row r="189" spans="16:33" x14ac:dyDescent="0.25">
      <c r="W189" s="7" t="s">
        <v>271</v>
      </c>
      <c r="X189" s="8">
        <v>26.75</v>
      </c>
      <c r="Y189" s="8">
        <v>13.92</v>
      </c>
      <c r="Z189" s="8">
        <v>12.83</v>
      </c>
      <c r="AA189" s="8">
        <v>3.0830000000000002</v>
      </c>
      <c r="AB189" s="8">
        <v>10</v>
      </c>
      <c r="AC189" s="8">
        <v>10</v>
      </c>
      <c r="AD189" s="8">
        <v>5.883</v>
      </c>
      <c r="AE189" s="8">
        <v>53</v>
      </c>
    </row>
    <row r="190" spans="16:33" x14ac:dyDescent="0.25">
      <c r="W190" s="7" t="s">
        <v>274</v>
      </c>
      <c r="X190" s="8">
        <v>26.75</v>
      </c>
      <c r="Y190" s="8">
        <v>9.8580000000000005</v>
      </c>
      <c r="Z190" s="8">
        <v>16.89</v>
      </c>
      <c r="AA190" s="8">
        <v>3.0830000000000002</v>
      </c>
      <c r="AB190" s="8">
        <v>10</v>
      </c>
      <c r="AC190" s="8">
        <v>10</v>
      </c>
      <c r="AD190" s="8">
        <v>7.7480000000000002</v>
      </c>
      <c r="AE190" s="8">
        <v>53</v>
      </c>
    </row>
    <row r="191" spans="16:33" x14ac:dyDescent="0.25">
      <c r="W191" s="7" t="s">
        <v>277</v>
      </c>
      <c r="X191" s="8">
        <v>13.92</v>
      </c>
      <c r="Y191" s="8">
        <v>9.8580000000000005</v>
      </c>
      <c r="Z191" s="8">
        <v>4.0650000000000004</v>
      </c>
      <c r="AA191" s="8">
        <v>3.0830000000000002</v>
      </c>
      <c r="AB191" s="8">
        <v>10</v>
      </c>
      <c r="AC191" s="8">
        <v>10</v>
      </c>
      <c r="AD191" s="8">
        <v>1.865</v>
      </c>
      <c r="AE191" s="8">
        <v>53</v>
      </c>
    </row>
    <row r="192" spans="16:33" x14ac:dyDescent="0.25">
      <c r="Y192" s="7"/>
      <c r="Z192" s="8"/>
      <c r="AA192" s="8"/>
      <c r="AB192" s="8"/>
      <c r="AC192" s="8"/>
      <c r="AD192" s="8"/>
      <c r="AE192" s="8"/>
      <c r="AF192" s="8"/>
      <c r="AG192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1888-27FA-412A-9EF6-06CA5DF4D214}">
  <dimension ref="A1:S259"/>
  <sheetViews>
    <sheetView tabSelected="1" topLeftCell="A19" zoomScaleNormal="100" workbookViewId="0">
      <selection activeCell="K45" sqref="K45"/>
    </sheetView>
  </sheetViews>
  <sheetFormatPr defaultRowHeight="15" x14ac:dyDescent="0.25"/>
  <cols>
    <col min="1" max="1" width="9.140625" style="1"/>
    <col min="2" max="2" width="14.42578125" style="1" customWidth="1"/>
    <col min="3" max="11" width="9.140625" style="1"/>
    <col min="12" max="13" width="9.140625" style="1" customWidth="1"/>
    <col min="14" max="14" width="18.28515625" style="1" customWidth="1"/>
    <col min="15" max="16384" width="9.140625" style="1"/>
  </cols>
  <sheetData>
    <row r="1" spans="1:19" x14ac:dyDescent="0.25">
      <c r="A1" s="1" t="s">
        <v>311</v>
      </c>
      <c r="B1" s="1" t="s">
        <v>300</v>
      </c>
      <c r="C1" s="1" t="s">
        <v>301</v>
      </c>
      <c r="E1" s="1" t="s">
        <v>302</v>
      </c>
      <c r="F1" s="1" t="s">
        <v>143</v>
      </c>
      <c r="G1" s="1" t="s">
        <v>303</v>
      </c>
    </row>
    <row r="2" spans="1:19" x14ac:dyDescent="0.25">
      <c r="A2" s="1">
        <v>1</v>
      </c>
      <c r="B2" s="1" t="s">
        <v>304</v>
      </c>
      <c r="C2" s="3">
        <v>1.5469999999999999</v>
      </c>
      <c r="D2" s="3">
        <v>1.5629999999999999</v>
      </c>
      <c r="E2" s="1">
        <f>AVERAGE(C2:D2)</f>
        <v>1.5549999999999999</v>
      </c>
      <c r="F2" s="1">
        <f>STDEV(C2:D2)</f>
        <v>1.1313708498984771E-2</v>
      </c>
      <c r="G2" s="1">
        <f>F2*100/E2</f>
        <v>0.72756967839130371</v>
      </c>
    </row>
    <row r="3" spans="1:19" x14ac:dyDescent="0.25">
      <c r="A3" s="1">
        <v>1</v>
      </c>
      <c r="B3" s="1" t="s">
        <v>304</v>
      </c>
      <c r="C3" s="3">
        <v>0.88600000000000001</v>
      </c>
      <c r="D3" s="3">
        <v>0.92</v>
      </c>
      <c r="E3" s="1">
        <f t="shared" ref="E3:E66" si="0">AVERAGE(C3:D3)</f>
        <v>0.90300000000000002</v>
      </c>
      <c r="F3" s="1">
        <f t="shared" ref="F3:F66" si="1">STDEV(C3:D3)</f>
        <v>2.4041630560342638E-2</v>
      </c>
      <c r="G3" s="1">
        <f t="shared" ref="G3:G66" si="2">F3*100/E3</f>
        <v>2.6624175592848989</v>
      </c>
    </row>
    <row r="4" spans="1:19" x14ac:dyDescent="0.25">
      <c r="A4" s="1">
        <v>1</v>
      </c>
      <c r="B4" s="1" t="s">
        <v>304</v>
      </c>
      <c r="C4" s="3">
        <v>0.52400000000000002</v>
      </c>
      <c r="D4" s="3">
        <v>0.53600000000000003</v>
      </c>
      <c r="E4" s="1">
        <f t="shared" si="0"/>
        <v>0.53</v>
      </c>
      <c r="F4" s="1">
        <f t="shared" si="1"/>
        <v>8.4852813742385784E-3</v>
      </c>
      <c r="G4" s="1">
        <f t="shared" si="2"/>
        <v>1.600996485705392</v>
      </c>
    </row>
    <row r="5" spans="1:19" x14ac:dyDescent="0.25">
      <c r="A5" s="1">
        <v>1</v>
      </c>
      <c r="B5" s="1" t="s">
        <v>304</v>
      </c>
      <c r="C5" s="3">
        <v>0.3</v>
      </c>
      <c r="D5" s="3">
        <v>0.30099999999999999</v>
      </c>
      <c r="E5" s="1">
        <f t="shared" si="0"/>
        <v>0.30049999999999999</v>
      </c>
      <c r="F5" s="1">
        <f t="shared" si="1"/>
        <v>7.0710678118654816E-4</v>
      </c>
      <c r="G5" s="1">
        <f t="shared" si="2"/>
        <v>0.23531007693395947</v>
      </c>
    </row>
    <row r="6" spans="1:19" x14ac:dyDescent="0.25">
      <c r="A6" s="1">
        <v>1</v>
      </c>
      <c r="B6" s="1" t="s">
        <v>304</v>
      </c>
      <c r="C6" s="3">
        <v>0.192</v>
      </c>
      <c r="D6" s="3">
        <v>0.188</v>
      </c>
      <c r="E6" s="1">
        <f t="shared" si="0"/>
        <v>0.19</v>
      </c>
      <c r="F6" s="1">
        <f t="shared" si="1"/>
        <v>2.8284271247461927E-3</v>
      </c>
      <c r="G6" s="1">
        <f t="shared" si="2"/>
        <v>1.4886458551295751</v>
      </c>
      <c r="N6" s="1" t="s">
        <v>306</v>
      </c>
      <c r="P6" s="1">
        <f>G198</f>
        <v>8.2449821319349823</v>
      </c>
    </row>
    <row r="7" spans="1:19" x14ac:dyDescent="0.25">
      <c r="A7" s="1">
        <v>1</v>
      </c>
      <c r="B7" s="1" t="s">
        <v>304</v>
      </c>
      <c r="C7" s="3">
        <v>0.13600000000000001</v>
      </c>
      <c r="D7" s="3">
        <v>0.129</v>
      </c>
      <c r="E7" s="1">
        <f t="shared" si="0"/>
        <v>0.13250000000000001</v>
      </c>
      <c r="F7" s="1">
        <f t="shared" si="1"/>
        <v>4.9497474683058368E-3</v>
      </c>
      <c r="G7" s="1">
        <f t="shared" si="2"/>
        <v>3.7356584666459143</v>
      </c>
    </row>
    <row r="8" spans="1:19" x14ac:dyDescent="0.25">
      <c r="A8" s="1">
        <v>1</v>
      </c>
      <c r="B8" s="1" t="s">
        <v>304</v>
      </c>
      <c r="C8" s="3">
        <v>0.108</v>
      </c>
      <c r="D8" s="3">
        <v>0.10199999999999999</v>
      </c>
      <c r="E8" s="1">
        <f t="shared" si="0"/>
        <v>0.105</v>
      </c>
      <c r="F8" s="1">
        <f t="shared" si="1"/>
        <v>4.2426406871192892E-3</v>
      </c>
      <c r="G8" s="1">
        <f t="shared" si="2"/>
        <v>4.0406101782088468</v>
      </c>
      <c r="N8" s="1" t="s">
        <v>307</v>
      </c>
      <c r="P8" s="1">
        <f>(S23+S37)/2</f>
        <v>7.4366200003835488</v>
      </c>
    </row>
    <row r="9" spans="1:19" x14ac:dyDescent="0.25">
      <c r="A9" s="1">
        <v>1</v>
      </c>
      <c r="B9" s="1" t="s">
        <v>304</v>
      </c>
      <c r="C9" s="3">
        <v>8.7999999999999995E-2</v>
      </c>
      <c r="D9" s="3">
        <v>8.1000000000000003E-2</v>
      </c>
      <c r="E9" s="1">
        <f t="shared" si="0"/>
        <v>8.4499999999999992E-2</v>
      </c>
      <c r="F9" s="1">
        <f t="shared" si="1"/>
        <v>4.9497474683058273E-3</v>
      </c>
      <c r="G9" s="1">
        <f t="shared" si="2"/>
        <v>5.8576893116045303</v>
      </c>
    </row>
    <row r="10" spans="1:19" x14ac:dyDescent="0.25">
      <c r="A10" s="1">
        <v>1</v>
      </c>
      <c r="B10" s="4" t="s">
        <v>29</v>
      </c>
      <c r="C10" s="3">
        <v>0.104</v>
      </c>
      <c r="D10" s="3">
        <v>0.12</v>
      </c>
      <c r="E10" s="1">
        <f t="shared" si="0"/>
        <v>0.11199999999999999</v>
      </c>
      <c r="F10" s="1">
        <f t="shared" si="1"/>
        <v>1.1313708498984762E-2</v>
      </c>
      <c r="G10" s="1">
        <f t="shared" si="2"/>
        <v>10.10152544552211</v>
      </c>
    </row>
    <row r="11" spans="1:19" x14ac:dyDescent="0.25">
      <c r="A11" s="1">
        <v>1</v>
      </c>
      <c r="B11" s="4" t="s">
        <v>30</v>
      </c>
      <c r="C11" s="3">
        <v>9.4E-2</v>
      </c>
      <c r="D11" s="3">
        <v>0.08</v>
      </c>
      <c r="E11" s="1">
        <f t="shared" si="0"/>
        <v>8.6999999999999994E-2</v>
      </c>
      <c r="F11" s="1">
        <f t="shared" si="1"/>
        <v>9.8994949366116632E-3</v>
      </c>
      <c r="G11" s="1">
        <f t="shared" si="2"/>
        <v>11.378729812197315</v>
      </c>
    </row>
    <row r="12" spans="1:19" x14ac:dyDescent="0.25">
      <c r="A12" s="1">
        <v>1</v>
      </c>
      <c r="B12" s="4" t="s">
        <v>31</v>
      </c>
      <c r="C12" s="3">
        <v>8.2000000000000003E-2</v>
      </c>
      <c r="D12" s="3">
        <v>6.6000000000000003E-2</v>
      </c>
      <c r="E12" s="1">
        <f t="shared" si="0"/>
        <v>7.400000000000001E-2</v>
      </c>
      <c r="F12" s="1">
        <f t="shared" si="1"/>
        <v>1.1313708498984668E-2</v>
      </c>
      <c r="G12" s="1">
        <f t="shared" si="2"/>
        <v>15.2887952688982</v>
      </c>
    </row>
    <row r="13" spans="1:19" x14ac:dyDescent="0.25">
      <c r="A13" s="1">
        <v>1</v>
      </c>
      <c r="B13" s="4" t="s">
        <v>32</v>
      </c>
      <c r="C13" s="3">
        <v>0.09</v>
      </c>
      <c r="D13" s="3">
        <v>0.09</v>
      </c>
      <c r="E13" s="1">
        <f t="shared" si="0"/>
        <v>0.09</v>
      </c>
      <c r="F13" s="1">
        <f t="shared" si="1"/>
        <v>0</v>
      </c>
      <c r="G13" s="1">
        <f t="shared" si="2"/>
        <v>0</v>
      </c>
      <c r="N13" s="4" t="s">
        <v>100</v>
      </c>
      <c r="O13" s="6">
        <v>0.30299999999999999</v>
      </c>
      <c r="P13" s="6">
        <v>0.32600000000000001</v>
      </c>
      <c r="Q13" s="1">
        <f t="shared" ref="Q13:Q22" si="3">AVERAGE(O13:P13)</f>
        <v>0.3145</v>
      </c>
      <c r="R13" s="1">
        <f t="shared" ref="R13:R22" si="4">STDEV(O13:P13)</f>
        <v>1.6263455967290608E-2</v>
      </c>
      <c r="S13" s="1">
        <f t="shared" ref="S13:S22" si="5">R13*100/Q13</f>
        <v>5.1712101644803203</v>
      </c>
    </row>
    <row r="14" spans="1:19" x14ac:dyDescent="0.25">
      <c r="A14" s="1">
        <v>1</v>
      </c>
      <c r="B14" s="4" t="s">
        <v>33</v>
      </c>
      <c r="C14" s="3">
        <v>8.1000000000000003E-2</v>
      </c>
      <c r="D14" s="3">
        <v>9.9000000000000005E-2</v>
      </c>
      <c r="E14" s="1">
        <f t="shared" si="0"/>
        <v>0.09</v>
      </c>
      <c r="F14" s="1">
        <f t="shared" si="1"/>
        <v>1.2727922061357857E-2</v>
      </c>
      <c r="G14" s="1">
        <f t="shared" si="2"/>
        <v>14.142135623730953</v>
      </c>
      <c r="N14" s="4" t="s">
        <v>101</v>
      </c>
      <c r="O14" s="6">
        <v>0.499</v>
      </c>
      <c r="P14" s="6">
        <v>0.51400000000000001</v>
      </c>
      <c r="Q14" s="1">
        <f t="shared" si="3"/>
        <v>0.50649999999999995</v>
      </c>
      <c r="R14" s="1">
        <f t="shared" si="4"/>
        <v>1.0606601717798222E-2</v>
      </c>
      <c r="S14" s="1">
        <f t="shared" si="5"/>
        <v>2.0940970815001432</v>
      </c>
    </row>
    <row r="15" spans="1:19" x14ac:dyDescent="0.25">
      <c r="A15" s="1">
        <v>1</v>
      </c>
      <c r="B15" s="4" t="s">
        <v>34</v>
      </c>
      <c r="C15" s="3">
        <v>0.08</v>
      </c>
      <c r="D15" s="3">
        <v>7.8E-2</v>
      </c>
      <c r="E15" s="1">
        <f t="shared" si="0"/>
        <v>7.9000000000000001E-2</v>
      </c>
      <c r="F15" s="1">
        <f t="shared" si="1"/>
        <v>1.4142135623730963E-3</v>
      </c>
      <c r="G15" s="1">
        <f t="shared" si="2"/>
        <v>1.7901437498393626</v>
      </c>
      <c r="N15" s="4" t="s">
        <v>102</v>
      </c>
      <c r="O15" s="6">
        <v>0.32300000000000001</v>
      </c>
      <c r="P15" s="6">
        <v>0.34599999999999997</v>
      </c>
      <c r="Q15" s="1">
        <f t="shared" si="3"/>
        <v>0.33450000000000002</v>
      </c>
      <c r="R15" s="1">
        <f t="shared" si="4"/>
        <v>1.626345596729057E-2</v>
      </c>
      <c r="S15" s="1">
        <f t="shared" si="5"/>
        <v>4.8620197211631</v>
      </c>
    </row>
    <row r="16" spans="1:19" x14ac:dyDescent="0.25">
      <c r="A16" s="1">
        <v>1</v>
      </c>
      <c r="B16" s="4" t="s">
        <v>35</v>
      </c>
      <c r="C16" s="3">
        <v>7.9000000000000001E-2</v>
      </c>
      <c r="D16" s="3">
        <v>7.5999999999999998E-2</v>
      </c>
      <c r="E16" s="1">
        <f t="shared" si="0"/>
        <v>7.7499999999999999E-2</v>
      </c>
      <c r="F16" s="1">
        <f t="shared" si="1"/>
        <v>2.1213203435596446E-3</v>
      </c>
      <c r="G16" s="1">
        <f t="shared" si="2"/>
        <v>2.7371875400769605</v>
      </c>
      <c r="N16" s="4" t="s">
        <v>103</v>
      </c>
      <c r="O16" s="6">
        <v>0.28100000000000003</v>
      </c>
      <c r="P16" s="6">
        <v>0.28199999999999997</v>
      </c>
      <c r="Q16" s="1">
        <f t="shared" si="3"/>
        <v>0.28149999999999997</v>
      </c>
      <c r="R16" s="1">
        <f t="shared" si="4"/>
        <v>7.0710678118650892E-4</v>
      </c>
      <c r="S16" s="1">
        <f t="shared" si="5"/>
        <v>0.25119246223321812</v>
      </c>
    </row>
    <row r="17" spans="1:19" x14ac:dyDescent="0.25">
      <c r="A17" s="1">
        <v>1</v>
      </c>
      <c r="B17" s="4" t="s">
        <v>36</v>
      </c>
      <c r="C17" s="3">
        <v>7.8E-2</v>
      </c>
      <c r="D17" s="3">
        <v>7.6999999999999999E-2</v>
      </c>
      <c r="E17" s="1">
        <f t="shared" si="0"/>
        <v>7.7499999999999999E-2</v>
      </c>
      <c r="F17" s="1">
        <f t="shared" si="1"/>
        <v>7.0710678118654816E-4</v>
      </c>
      <c r="G17" s="1">
        <f t="shared" si="2"/>
        <v>0.91239584669232032</v>
      </c>
      <c r="L17" s="1" t="s">
        <v>308</v>
      </c>
      <c r="N17" s="4" t="s">
        <v>104</v>
      </c>
      <c r="O17" s="6">
        <v>0.24</v>
      </c>
      <c r="P17" s="6">
        <v>0.223</v>
      </c>
      <c r="Q17" s="1">
        <f t="shared" si="3"/>
        <v>0.23149999999999998</v>
      </c>
      <c r="R17" s="1">
        <f t="shared" si="4"/>
        <v>1.2020815280171298E-2</v>
      </c>
      <c r="S17" s="1">
        <f t="shared" si="5"/>
        <v>5.1925767948904094</v>
      </c>
    </row>
    <row r="18" spans="1:19" x14ac:dyDescent="0.25">
      <c r="A18" s="1">
        <v>1</v>
      </c>
      <c r="B18" s="4" t="s">
        <v>37</v>
      </c>
      <c r="C18" s="3">
        <v>0.11700000000000001</v>
      </c>
      <c r="D18" s="3">
        <v>0.115</v>
      </c>
      <c r="E18" s="1">
        <f t="shared" si="0"/>
        <v>0.11600000000000001</v>
      </c>
      <c r="F18" s="1">
        <f t="shared" si="1"/>
        <v>1.4142135623730963E-3</v>
      </c>
      <c r="G18" s="1">
        <f t="shared" si="2"/>
        <v>1.2191496227354279</v>
      </c>
      <c r="N18" s="4" t="s">
        <v>105</v>
      </c>
      <c r="O18" s="6">
        <v>0.32400000000000001</v>
      </c>
      <c r="P18" s="6">
        <v>0.23899999999999999</v>
      </c>
      <c r="Q18" s="1">
        <f t="shared" si="3"/>
        <v>0.28149999999999997</v>
      </c>
      <c r="R18" s="1">
        <f t="shared" si="4"/>
        <v>6.0104076400856694E-2</v>
      </c>
      <c r="S18" s="1">
        <f t="shared" si="5"/>
        <v>21.35135928982476</v>
      </c>
    </row>
    <row r="19" spans="1:19" x14ac:dyDescent="0.25">
      <c r="A19" s="1">
        <v>1</v>
      </c>
      <c r="B19" s="4" t="s">
        <v>38</v>
      </c>
      <c r="C19" s="3">
        <v>8.8999999999999996E-2</v>
      </c>
      <c r="D19" s="3">
        <v>8.4000000000000005E-2</v>
      </c>
      <c r="E19" s="1">
        <f t="shared" si="0"/>
        <v>8.6499999999999994E-2</v>
      </c>
      <c r="F19" s="1">
        <f t="shared" si="1"/>
        <v>3.5355339059327312E-3</v>
      </c>
      <c r="G19" s="1">
        <f t="shared" si="2"/>
        <v>4.0873224346043138</v>
      </c>
      <c r="N19" s="4" t="s">
        <v>106</v>
      </c>
      <c r="O19" s="6">
        <v>0.39100000000000001</v>
      </c>
      <c r="P19" s="6">
        <v>0.39500000000000002</v>
      </c>
      <c r="Q19" s="1">
        <f t="shared" si="3"/>
        <v>0.39300000000000002</v>
      </c>
      <c r="R19" s="1">
        <f t="shared" si="4"/>
        <v>2.8284271247461927E-3</v>
      </c>
      <c r="S19" s="1">
        <f t="shared" si="5"/>
        <v>0.71970155845959105</v>
      </c>
    </row>
    <row r="20" spans="1:19" x14ac:dyDescent="0.25">
      <c r="A20" s="1">
        <v>1</v>
      </c>
      <c r="B20" s="4" t="s">
        <v>39</v>
      </c>
      <c r="C20" s="3">
        <v>0.112</v>
      </c>
      <c r="D20" s="3">
        <v>0.1</v>
      </c>
      <c r="E20" s="1">
        <f t="shared" si="0"/>
        <v>0.10600000000000001</v>
      </c>
      <c r="F20" s="1">
        <f t="shared" si="1"/>
        <v>8.485281374238568E-3</v>
      </c>
      <c r="G20" s="1">
        <f t="shared" si="2"/>
        <v>8.0049824285269509</v>
      </c>
      <c r="N20" s="4" t="s">
        <v>107</v>
      </c>
      <c r="O20" s="6">
        <v>0.42299999999999999</v>
      </c>
      <c r="P20" s="6">
        <v>0.38200000000000001</v>
      </c>
      <c r="Q20" s="1">
        <f t="shared" si="3"/>
        <v>0.40249999999999997</v>
      </c>
      <c r="R20" s="1">
        <f t="shared" si="4"/>
        <v>2.8991378028648436E-2</v>
      </c>
      <c r="S20" s="1">
        <f t="shared" si="5"/>
        <v>7.2028268394157609</v>
      </c>
    </row>
    <row r="21" spans="1:19" x14ac:dyDescent="0.25">
      <c r="A21" s="1">
        <v>1</v>
      </c>
      <c r="B21" s="4" t="s">
        <v>40</v>
      </c>
      <c r="C21" s="3">
        <v>7.9000000000000001E-2</v>
      </c>
      <c r="D21" s="3">
        <v>7.8E-2</v>
      </c>
      <c r="E21" s="1">
        <f t="shared" si="0"/>
        <v>7.85E-2</v>
      </c>
      <c r="F21" s="1">
        <f t="shared" si="1"/>
        <v>7.0710678118654816E-4</v>
      </c>
      <c r="G21" s="1">
        <f t="shared" si="2"/>
        <v>0.90077296966439258</v>
      </c>
      <c r="N21" s="4" t="s">
        <v>108</v>
      </c>
      <c r="O21" s="6">
        <v>0.25900000000000001</v>
      </c>
      <c r="P21" s="6">
        <v>0.25600000000000001</v>
      </c>
      <c r="Q21" s="1">
        <f t="shared" si="3"/>
        <v>0.25750000000000001</v>
      </c>
      <c r="R21" s="1">
        <f t="shared" si="4"/>
        <v>2.1213203435596446E-3</v>
      </c>
      <c r="S21" s="1">
        <f t="shared" si="5"/>
        <v>0.82381372565423083</v>
      </c>
    </row>
    <row r="22" spans="1:19" x14ac:dyDescent="0.25">
      <c r="A22" s="1">
        <v>1</v>
      </c>
      <c r="B22" s="4" t="s">
        <v>41</v>
      </c>
      <c r="C22" s="3">
        <v>7.6999999999999999E-2</v>
      </c>
      <c r="D22" s="3">
        <v>7.6999999999999999E-2</v>
      </c>
      <c r="E22" s="1">
        <f t="shared" si="0"/>
        <v>7.6999999999999999E-2</v>
      </c>
      <c r="F22" s="1">
        <f t="shared" si="1"/>
        <v>0</v>
      </c>
      <c r="G22" s="1">
        <f t="shared" si="2"/>
        <v>0</v>
      </c>
      <c r="N22" s="4" t="s">
        <v>109</v>
      </c>
      <c r="O22" s="6">
        <v>0.39800000000000002</v>
      </c>
      <c r="P22" s="6">
        <v>0.33300000000000002</v>
      </c>
      <c r="Q22" s="1">
        <f t="shared" si="3"/>
        <v>0.36550000000000005</v>
      </c>
      <c r="R22" s="1">
        <f t="shared" si="4"/>
        <v>4.5961940777125586E-2</v>
      </c>
      <c r="S22" s="1">
        <f t="shared" si="5"/>
        <v>12.575086395930391</v>
      </c>
    </row>
    <row r="23" spans="1:19" x14ac:dyDescent="0.25">
      <c r="A23" s="1">
        <v>1</v>
      </c>
      <c r="B23" s="4" t="s">
        <v>42</v>
      </c>
      <c r="C23" s="3">
        <v>8.2000000000000003E-2</v>
      </c>
      <c r="D23" s="3">
        <v>7.2999999999999995E-2</v>
      </c>
      <c r="E23" s="1">
        <f t="shared" si="0"/>
        <v>7.7499999999999999E-2</v>
      </c>
      <c r="F23" s="1">
        <f t="shared" si="1"/>
        <v>6.3639610306789329E-3</v>
      </c>
      <c r="G23" s="1">
        <f t="shared" si="2"/>
        <v>8.2115626202308807</v>
      </c>
      <c r="R23" s="1" t="s">
        <v>309</v>
      </c>
      <c r="S23" s="1">
        <f>AVERAGE(S13:S22)</f>
        <v>6.0243884033551929</v>
      </c>
    </row>
    <row r="24" spans="1:19" x14ac:dyDescent="0.25">
      <c r="A24" s="1">
        <v>1</v>
      </c>
      <c r="B24" s="4" t="s">
        <v>43</v>
      </c>
      <c r="C24" s="3">
        <v>8.5999999999999993E-2</v>
      </c>
      <c r="D24" s="3">
        <v>9.1999999999999998E-2</v>
      </c>
      <c r="E24" s="1">
        <f t="shared" si="0"/>
        <v>8.8999999999999996E-2</v>
      </c>
      <c r="F24" s="1">
        <f t="shared" si="1"/>
        <v>4.2426406871192892E-3</v>
      </c>
      <c r="G24" s="1">
        <f t="shared" si="2"/>
        <v>4.7670120079992016</v>
      </c>
    </row>
    <row r="25" spans="1:19" x14ac:dyDescent="0.25">
      <c r="A25" s="1">
        <v>1</v>
      </c>
      <c r="B25" s="4" t="s">
        <v>44</v>
      </c>
      <c r="C25" s="3">
        <v>8.3000000000000004E-2</v>
      </c>
      <c r="D25" s="3">
        <v>9.1999999999999998E-2</v>
      </c>
      <c r="E25" s="1">
        <f t="shared" si="0"/>
        <v>8.7499999999999994E-2</v>
      </c>
      <c r="F25" s="1">
        <f t="shared" si="1"/>
        <v>6.3639610306789234E-3</v>
      </c>
      <c r="G25" s="1">
        <f t="shared" si="2"/>
        <v>7.2730983207759126</v>
      </c>
    </row>
    <row r="26" spans="1:19" x14ac:dyDescent="0.25">
      <c r="A26" s="1">
        <v>1</v>
      </c>
      <c r="B26" s="4" t="s">
        <v>45</v>
      </c>
      <c r="C26" s="3">
        <v>8.3000000000000004E-2</v>
      </c>
      <c r="D26" s="3">
        <v>0.08</v>
      </c>
      <c r="E26" s="1">
        <f t="shared" si="0"/>
        <v>8.1500000000000003E-2</v>
      </c>
      <c r="F26" s="1">
        <f t="shared" si="1"/>
        <v>2.1213203435596446E-3</v>
      </c>
      <c r="G26" s="1">
        <f t="shared" si="2"/>
        <v>2.602847047312447</v>
      </c>
    </row>
    <row r="27" spans="1:19" x14ac:dyDescent="0.25">
      <c r="A27" s="1">
        <v>1</v>
      </c>
      <c r="B27" s="4" t="s">
        <v>46</v>
      </c>
      <c r="C27" s="3">
        <v>8.4000000000000005E-2</v>
      </c>
      <c r="D27" s="3">
        <v>8.4000000000000005E-2</v>
      </c>
      <c r="E27" s="1">
        <f t="shared" si="0"/>
        <v>8.4000000000000005E-2</v>
      </c>
      <c r="F27" s="1">
        <f t="shared" si="1"/>
        <v>0</v>
      </c>
      <c r="G27" s="1">
        <f t="shared" si="2"/>
        <v>0</v>
      </c>
      <c r="N27" s="4" t="s">
        <v>110</v>
      </c>
      <c r="O27" s="6">
        <v>0.11799999999999999</v>
      </c>
      <c r="P27" s="6">
        <v>0.16600000000000001</v>
      </c>
      <c r="Q27" s="1">
        <f t="shared" ref="Q27:Q36" si="6">AVERAGE(O27:P27)</f>
        <v>0.14200000000000002</v>
      </c>
      <c r="R27" s="1">
        <f t="shared" ref="R27:R36" si="7">STDEV(O27:P27)</f>
        <v>3.3941125496954182E-2</v>
      </c>
      <c r="S27" s="1">
        <f t="shared" ref="S27:S36" si="8">R27*100/Q27</f>
        <v>23.902201054193085</v>
      </c>
    </row>
    <row r="28" spans="1:19" x14ac:dyDescent="0.25">
      <c r="A28" s="1">
        <v>1</v>
      </c>
      <c r="B28" s="4" t="s">
        <v>47</v>
      </c>
      <c r="C28" s="3">
        <v>7.8E-2</v>
      </c>
      <c r="D28" s="3">
        <v>7.8E-2</v>
      </c>
      <c r="E28" s="1">
        <f t="shared" si="0"/>
        <v>7.8E-2</v>
      </c>
      <c r="F28" s="1">
        <f t="shared" si="1"/>
        <v>0</v>
      </c>
      <c r="G28" s="1">
        <f t="shared" si="2"/>
        <v>0</v>
      </c>
      <c r="L28" s="1" t="s">
        <v>310</v>
      </c>
      <c r="N28" s="4" t="s">
        <v>111</v>
      </c>
      <c r="O28" s="6">
        <v>0.14899999999999999</v>
      </c>
      <c r="P28" s="6">
        <v>0.14399999999999999</v>
      </c>
      <c r="Q28" s="1">
        <f t="shared" si="6"/>
        <v>0.14649999999999999</v>
      </c>
      <c r="R28" s="1">
        <f t="shared" si="7"/>
        <v>3.5355339059327407E-3</v>
      </c>
      <c r="S28" s="1">
        <f t="shared" si="8"/>
        <v>2.4133337241861712</v>
      </c>
    </row>
    <row r="29" spans="1:19" x14ac:dyDescent="0.25">
      <c r="A29" s="1">
        <v>1</v>
      </c>
      <c r="B29" s="4" t="s">
        <v>48</v>
      </c>
      <c r="C29" s="3">
        <v>8.7999999999999995E-2</v>
      </c>
      <c r="D29" s="3">
        <v>7.2999999999999995E-2</v>
      </c>
      <c r="E29" s="1">
        <f t="shared" si="0"/>
        <v>8.0499999999999988E-2</v>
      </c>
      <c r="F29" s="1">
        <f t="shared" si="1"/>
        <v>1.0606601717798213E-2</v>
      </c>
      <c r="G29" s="1">
        <f t="shared" si="2"/>
        <v>13.17590275502884</v>
      </c>
      <c r="N29" s="4" t="s">
        <v>112</v>
      </c>
      <c r="O29" s="6">
        <v>0.13400000000000001</v>
      </c>
      <c r="P29" s="6">
        <v>0.157</v>
      </c>
      <c r="Q29" s="1">
        <f t="shared" si="6"/>
        <v>0.14550000000000002</v>
      </c>
      <c r="R29" s="1">
        <f t="shared" si="7"/>
        <v>1.6263455967290587E-2</v>
      </c>
      <c r="S29" s="1">
        <f t="shared" si="8"/>
        <v>11.177632967210025</v>
      </c>
    </row>
    <row r="30" spans="1:19" x14ac:dyDescent="0.25">
      <c r="A30" s="1">
        <v>1</v>
      </c>
      <c r="B30" s="4" t="s">
        <v>50</v>
      </c>
      <c r="C30" s="3">
        <v>6.9000000000000006E-2</v>
      </c>
      <c r="D30" s="3">
        <v>0.08</v>
      </c>
      <c r="E30" s="1">
        <f t="shared" si="0"/>
        <v>7.4500000000000011E-2</v>
      </c>
      <c r="F30" s="1">
        <f t="shared" si="1"/>
        <v>7.7781745930520195E-3</v>
      </c>
      <c r="G30" s="1">
        <f t="shared" si="2"/>
        <v>10.440502809465796</v>
      </c>
      <c r="N30" s="4" t="s">
        <v>113</v>
      </c>
      <c r="O30" s="6">
        <v>0.14499999999999999</v>
      </c>
      <c r="P30" s="6">
        <v>0.158</v>
      </c>
      <c r="Q30" s="1">
        <f t="shared" si="6"/>
        <v>0.1515</v>
      </c>
      <c r="R30" s="1">
        <f t="shared" si="7"/>
        <v>9.1923881554251269E-3</v>
      </c>
      <c r="S30" s="1">
        <f t="shared" si="8"/>
        <v>6.0675829408746713</v>
      </c>
    </row>
    <row r="31" spans="1:19" x14ac:dyDescent="0.25">
      <c r="A31" s="1">
        <v>1</v>
      </c>
      <c r="B31" s="4" t="s">
        <v>51</v>
      </c>
      <c r="C31" s="3">
        <v>0.08</v>
      </c>
      <c r="D31" s="3">
        <v>8.4000000000000005E-2</v>
      </c>
      <c r="E31" s="1">
        <f t="shared" si="0"/>
        <v>8.2000000000000003E-2</v>
      </c>
      <c r="F31" s="1">
        <f t="shared" si="1"/>
        <v>2.8284271247461927E-3</v>
      </c>
      <c r="G31" s="1">
        <f t="shared" si="2"/>
        <v>3.4493013716416985</v>
      </c>
      <c r="N31" s="4" t="s">
        <v>114</v>
      </c>
      <c r="O31" s="6">
        <v>0.17100000000000001</v>
      </c>
      <c r="P31" s="6">
        <v>0.16500000000000001</v>
      </c>
      <c r="Q31" s="1">
        <f t="shared" si="6"/>
        <v>0.16800000000000001</v>
      </c>
      <c r="R31" s="1">
        <f t="shared" si="7"/>
        <v>4.2426406871192892E-3</v>
      </c>
      <c r="S31" s="1">
        <f t="shared" si="8"/>
        <v>2.5253813613805289</v>
      </c>
    </row>
    <row r="32" spans="1:19" x14ac:dyDescent="0.25">
      <c r="A32" s="1">
        <v>1</v>
      </c>
      <c r="B32" s="4" t="s">
        <v>52</v>
      </c>
      <c r="C32" s="3">
        <v>7.2999999999999995E-2</v>
      </c>
      <c r="D32" s="3">
        <v>8.3000000000000004E-2</v>
      </c>
      <c r="E32" s="1">
        <f t="shared" si="0"/>
        <v>7.8E-2</v>
      </c>
      <c r="F32" s="1">
        <f t="shared" si="1"/>
        <v>7.0710678118654814E-3</v>
      </c>
      <c r="G32" s="1">
        <f t="shared" si="2"/>
        <v>9.0654715536736941</v>
      </c>
      <c r="N32" s="4" t="s">
        <v>115</v>
      </c>
      <c r="O32" s="6">
        <v>0.153</v>
      </c>
      <c r="P32" s="6">
        <v>0.16700000000000001</v>
      </c>
      <c r="Q32" s="1">
        <f t="shared" si="6"/>
        <v>0.16</v>
      </c>
      <c r="R32" s="1">
        <f t="shared" si="7"/>
        <v>9.8994949366116736E-3</v>
      </c>
      <c r="S32" s="1">
        <f t="shared" si="8"/>
        <v>6.1871843353822955</v>
      </c>
    </row>
    <row r="33" spans="1:19" x14ac:dyDescent="0.25">
      <c r="A33" s="1">
        <v>1</v>
      </c>
      <c r="B33" s="4" t="s">
        <v>53</v>
      </c>
      <c r="C33" s="3">
        <v>8.1000000000000003E-2</v>
      </c>
      <c r="D33" s="3">
        <v>7.9000000000000001E-2</v>
      </c>
      <c r="E33" s="1">
        <f t="shared" si="0"/>
        <v>0.08</v>
      </c>
      <c r="F33" s="1">
        <f t="shared" si="1"/>
        <v>1.4142135623730963E-3</v>
      </c>
      <c r="G33" s="1">
        <f t="shared" si="2"/>
        <v>1.7677669529663704</v>
      </c>
      <c r="N33" s="4" t="s">
        <v>116</v>
      </c>
      <c r="O33" s="6">
        <v>0.13400000000000001</v>
      </c>
      <c r="P33" s="6">
        <v>0.13800000000000001</v>
      </c>
      <c r="Q33" s="1">
        <f t="shared" si="6"/>
        <v>0.13600000000000001</v>
      </c>
      <c r="R33" s="1">
        <f t="shared" si="7"/>
        <v>2.8284271247461927E-3</v>
      </c>
      <c r="S33" s="1">
        <f t="shared" si="8"/>
        <v>2.0797258270192591</v>
      </c>
    </row>
    <row r="34" spans="1:19" x14ac:dyDescent="0.25">
      <c r="A34" s="1">
        <v>1</v>
      </c>
      <c r="B34" s="4" t="s">
        <v>54</v>
      </c>
      <c r="C34" s="3">
        <v>7.5999999999999998E-2</v>
      </c>
      <c r="D34" s="3">
        <v>8.2000000000000003E-2</v>
      </c>
      <c r="E34" s="1">
        <f t="shared" si="0"/>
        <v>7.9000000000000001E-2</v>
      </c>
      <c r="F34" s="1">
        <f t="shared" si="1"/>
        <v>4.2426406871192892E-3</v>
      </c>
      <c r="G34" s="1">
        <f t="shared" si="2"/>
        <v>5.370431249518087</v>
      </c>
      <c r="N34" s="4" t="s">
        <v>117</v>
      </c>
      <c r="O34" s="6">
        <v>0.16200000000000001</v>
      </c>
      <c r="P34" s="6">
        <v>0.19900000000000001</v>
      </c>
      <c r="Q34" s="1">
        <f t="shared" si="6"/>
        <v>0.18049999999999999</v>
      </c>
      <c r="R34" s="1">
        <f t="shared" si="7"/>
        <v>2.6162950903902346E-2</v>
      </c>
      <c r="S34" s="1">
        <f t="shared" si="8"/>
        <v>14.494709642051161</v>
      </c>
    </row>
    <row r="35" spans="1:19" x14ac:dyDescent="0.25">
      <c r="A35" s="1">
        <v>1</v>
      </c>
      <c r="B35" s="4" t="s">
        <v>55</v>
      </c>
      <c r="C35" s="3">
        <v>0.08</v>
      </c>
      <c r="D35" s="3">
        <v>0.08</v>
      </c>
      <c r="E35" s="1">
        <f t="shared" si="0"/>
        <v>0.08</v>
      </c>
      <c r="F35" s="1">
        <f t="shared" si="1"/>
        <v>0</v>
      </c>
      <c r="G35" s="1">
        <f t="shared" si="2"/>
        <v>0</v>
      </c>
      <c r="N35" s="4" t="s">
        <v>118</v>
      </c>
      <c r="O35" s="6">
        <v>0.121</v>
      </c>
      <c r="P35" s="6">
        <v>0.113</v>
      </c>
      <c r="Q35" s="1">
        <f t="shared" si="6"/>
        <v>0.11699999999999999</v>
      </c>
      <c r="R35" s="1">
        <f t="shared" si="7"/>
        <v>5.6568542494923758E-3</v>
      </c>
      <c r="S35" s="1">
        <f t="shared" si="8"/>
        <v>4.8349181619592958</v>
      </c>
    </row>
    <row r="36" spans="1:19" x14ac:dyDescent="0.25">
      <c r="A36" s="1">
        <v>1</v>
      </c>
      <c r="B36" s="4" t="s">
        <v>56</v>
      </c>
      <c r="C36" s="3">
        <v>8.2000000000000003E-2</v>
      </c>
      <c r="D36" s="3">
        <v>7.5999999999999998E-2</v>
      </c>
      <c r="E36" s="1">
        <f t="shared" si="0"/>
        <v>7.9000000000000001E-2</v>
      </c>
      <c r="F36" s="1">
        <f t="shared" si="1"/>
        <v>4.2426406871192892E-3</v>
      </c>
      <c r="G36" s="1">
        <f t="shared" si="2"/>
        <v>5.370431249518087</v>
      </c>
      <c r="N36" s="4" t="s">
        <v>119</v>
      </c>
      <c r="O36" s="6">
        <v>0.153</v>
      </c>
      <c r="P36" s="6">
        <v>0.124</v>
      </c>
      <c r="Q36" s="1">
        <f t="shared" si="6"/>
        <v>0.13850000000000001</v>
      </c>
      <c r="R36" s="1">
        <f t="shared" si="7"/>
        <v>2.0506096654409642E-2</v>
      </c>
      <c r="S36" s="1">
        <f t="shared" si="8"/>
        <v>14.805845959862557</v>
      </c>
    </row>
    <row r="37" spans="1:19" x14ac:dyDescent="0.25">
      <c r="A37" s="1">
        <v>1</v>
      </c>
      <c r="B37" s="4" t="s">
        <v>57</v>
      </c>
      <c r="C37" s="3">
        <v>0.109</v>
      </c>
      <c r="D37" s="3">
        <v>0.12</v>
      </c>
      <c r="E37" s="1">
        <f t="shared" si="0"/>
        <v>0.11449999999999999</v>
      </c>
      <c r="F37" s="1">
        <f t="shared" si="1"/>
        <v>7.7781745930520195E-3</v>
      </c>
      <c r="G37" s="1">
        <f t="shared" si="2"/>
        <v>6.7931655834515459</v>
      </c>
      <c r="R37" s="1" t="s">
        <v>309</v>
      </c>
      <c r="S37" s="1">
        <f>AVERAGE(S27:S36)</f>
        <v>8.8488515974119046</v>
      </c>
    </row>
    <row r="38" spans="1:19" x14ac:dyDescent="0.25">
      <c r="A38" s="1">
        <v>1</v>
      </c>
      <c r="B38" s="4" t="s">
        <v>58</v>
      </c>
      <c r="C38" s="3">
        <v>0.10199999999999999</v>
      </c>
      <c r="D38" s="3">
        <v>9.7000000000000003E-2</v>
      </c>
      <c r="E38" s="1">
        <f t="shared" si="0"/>
        <v>9.9500000000000005E-2</v>
      </c>
      <c r="F38" s="1">
        <f t="shared" si="1"/>
        <v>3.5355339059327312E-3</v>
      </c>
      <c r="G38" s="1">
        <f t="shared" si="2"/>
        <v>3.5533004079725941</v>
      </c>
    </row>
    <row r="39" spans="1:19" x14ac:dyDescent="0.25">
      <c r="A39" s="1">
        <v>1</v>
      </c>
      <c r="B39" s="4" t="s">
        <v>59</v>
      </c>
      <c r="C39" s="3">
        <v>7.5999999999999998E-2</v>
      </c>
      <c r="D39" s="3">
        <v>7.4999999999999997E-2</v>
      </c>
      <c r="E39" s="1">
        <f t="shared" si="0"/>
        <v>7.5499999999999998E-2</v>
      </c>
      <c r="F39" s="1">
        <f t="shared" si="1"/>
        <v>7.0710678118654816E-4</v>
      </c>
      <c r="G39" s="1">
        <f t="shared" si="2"/>
        <v>0.93656527309476589</v>
      </c>
    </row>
    <row r="40" spans="1:19" x14ac:dyDescent="0.25">
      <c r="A40" s="1">
        <v>1</v>
      </c>
      <c r="B40" s="1" t="s">
        <v>305</v>
      </c>
      <c r="C40" s="3">
        <v>6.8000000000000005E-2</v>
      </c>
      <c r="D40" s="3">
        <v>7.0999999999999994E-2</v>
      </c>
      <c r="E40" s="1">
        <f t="shared" si="0"/>
        <v>6.9500000000000006E-2</v>
      </c>
      <c r="F40" s="1">
        <f t="shared" si="1"/>
        <v>2.1213203435596346E-3</v>
      </c>
      <c r="G40" s="1">
        <f t="shared" si="2"/>
        <v>3.0522594871361646</v>
      </c>
    </row>
    <row r="41" spans="1:19" x14ac:dyDescent="0.25">
      <c r="A41" s="1">
        <v>1</v>
      </c>
      <c r="B41" s="1" t="s">
        <v>305</v>
      </c>
      <c r="C41" s="3">
        <v>6.8000000000000005E-2</v>
      </c>
      <c r="D41" s="3">
        <v>7.2999999999999995E-2</v>
      </c>
      <c r="E41" s="1">
        <f t="shared" si="0"/>
        <v>7.0500000000000007E-2</v>
      </c>
      <c r="F41" s="1">
        <f t="shared" si="1"/>
        <v>3.5355339059327312E-3</v>
      </c>
      <c r="G41" s="1">
        <f t="shared" si="2"/>
        <v>5.0149417105428808</v>
      </c>
    </row>
    <row r="42" spans="1:19" x14ac:dyDescent="0.25">
      <c r="A42" s="1">
        <v>1</v>
      </c>
      <c r="B42" s="1" t="s">
        <v>305</v>
      </c>
      <c r="C42" s="3">
        <v>4.1000000000000002E-2</v>
      </c>
      <c r="D42" s="3">
        <v>4.1000000000000002E-2</v>
      </c>
      <c r="E42" s="1">
        <f t="shared" si="0"/>
        <v>4.1000000000000002E-2</v>
      </c>
      <c r="F42" s="1">
        <f t="shared" si="1"/>
        <v>0</v>
      </c>
      <c r="G42" s="1">
        <f t="shared" si="2"/>
        <v>0</v>
      </c>
    </row>
    <row r="43" spans="1:19" x14ac:dyDescent="0.25">
      <c r="A43" s="1">
        <v>1</v>
      </c>
      <c r="B43" s="1" t="s">
        <v>305</v>
      </c>
      <c r="C43" s="3">
        <v>0.04</v>
      </c>
      <c r="D43" s="3">
        <v>4.1000000000000002E-2</v>
      </c>
      <c r="E43" s="1">
        <f t="shared" si="0"/>
        <v>4.0500000000000001E-2</v>
      </c>
      <c r="F43" s="1">
        <f t="shared" si="1"/>
        <v>7.0710678118654816E-4</v>
      </c>
      <c r="G43" s="1">
        <f t="shared" si="2"/>
        <v>1.7459426695964153</v>
      </c>
    </row>
    <row r="44" spans="1:19" x14ac:dyDescent="0.25">
      <c r="A44" s="1">
        <v>1</v>
      </c>
      <c r="B44" s="1" t="s">
        <v>305</v>
      </c>
      <c r="C44" s="3">
        <v>0.04</v>
      </c>
      <c r="D44" s="3">
        <v>4.1000000000000002E-2</v>
      </c>
      <c r="E44" s="1">
        <f t="shared" si="0"/>
        <v>4.0500000000000001E-2</v>
      </c>
      <c r="F44" s="1">
        <f t="shared" si="1"/>
        <v>7.0710678118654816E-4</v>
      </c>
      <c r="G44" s="1">
        <f t="shared" si="2"/>
        <v>1.7459426695964153</v>
      </c>
    </row>
    <row r="45" spans="1:19" x14ac:dyDescent="0.25">
      <c r="A45" s="1">
        <v>1</v>
      </c>
      <c r="B45" s="1" t="s">
        <v>305</v>
      </c>
      <c r="C45" s="3">
        <v>0.04</v>
      </c>
      <c r="D45" s="3">
        <v>4.1000000000000002E-2</v>
      </c>
      <c r="E45" s="1">
        <f t="shared" si="0"/>
        <v>4.0500000000000001E-2</v>
      </c>
      <c r="F45" s="1">
        <f t="shared" si="1"/>
        <v>7.0710678118654816E-4</v>
      </c>
      <c r="G45" s="1">
        <f t="shared" si="2"/>
        <v>1.7459426695964153</v>
      </c>
    </row>
    <row r="46" spans="1:19" x14ac:dyDescent="0.25">
      <c r="A46" s="1">
        <v>1</v>
      </c>
      <c r="B46" s="1" t="s">
        <v>305</v>
      </c>
      <c r="C46" s="3">
        <v>0.04</v>
      </c>
      <c r="D46" s="3">
        <v>0.04</v>
      </c>
      <c r="E46" s="1">
        <f t="shared" si="0"/>
        <v>0.04</v>
      </c>
      <c r="F46" s="1">
        <f t="shared" si="1"/>
        <v>0</v>
      </c>
      <c r="G46" s="1">
        <f t="shared" si="2"/>
        <v>0</v>
      </c>
    </row>
    <row r="47" spans="1:19" x14ac:dyDescent="0.25">
      <c r="A47" s="1">
        <v>1</v>
      </c>
      <c r="B47" s="1" t="s">
        <v>305</v>
      </c>
      <c r="C47" s="3">
        <v>0.04</v>
      </c>
      <c r="D47" s="3">
        <v>0.04</v>
      </c>
      <c r="E47" s="1">
        <f t="shared" si="0"/>
        <v>0.04</v>
      </c>
      <c r="F47" s="1">
        <f t="shared" si="1"/>
        <v>0</v>
      </c>
      <c r="G47" s="1">
        <f t="shared" si="2"/>
        <v>0</v>
      </c>
    </row>
    <row r="48" spans="1:19" x14ac:dyDescent="0.25">
      <c r="A48" s="1">
        <v>1</v>
      </c>
      <c r="B48" s="1" t="s">
        <v>305</v>
      </c>
      <c r="C48" s="3">
        <v>0.04</v>
      </c>
      <c r="D48" s="3">
        <v>4.2999999999999997E-2</v>
      </c>
      <c r="E48" s="1">
        <f t="shared" si="0"/>
        <v>4.1499999999999995E-2</v>
      </c>
      <c r="F48" s="1">
        <f t="shared" si="1"/>
        <v>2.1213203435596394E-3</v>
      </c>
      <c r="G48" s="1">
        <f t="shared" si="2"/>
        <v>5.111615285685879</v>
      </c>
    </row>
    <row r="49" spans="1:7" x14ac:dyDescent="0.25">
      <c r="A49" s="1">
        <v>1</v>
      </c>
      <c r="B49" s="1" t="s">
        <v>305</v>
      </c>
      <c r="C49" s="3">
        <v>4.1000000000000002E-2</v>
      </c>
      <c r="D49" s="3">
        <v>0.04</v>
      </c>
      <c r="E49" s="1">
        <f t="shared" si="0"/>
        <v>4.0500000000000001E-2</v>
      </c>
      <c r="F49" s="1">
        <f t="shared" si="1"/>
        <v>7.0710678118654816E-4</v>
      </c>
      <c r="G49" s="1">
        <f t="shared" si="2"/>
        <v>1.7459426695964153</v>
      </c>
    </row>
    <row r="50" spans="1:7" x14ac:dyDescent="0.25">
      <c r="A50" s="1">
        <v>2</v>
      </c>
      <c r="B50" s="1" t="s">
        <v>304</v>
      </c>
      <c r="C50" s="6">
        <v>2.1040000000000001</v>
      </c>
      <c r="D50" s="6">
        <v>2.1749999999999998</v>
      </c>
      <c r="E50" s="1">
        <f t="shared" si="0"/>
        <v>2.1395</v>
      </c>
      <c r="F50" s="1">
        <f t="shared" si="1"/>
        <v>5.0204581464244682E-2</v>
      </c>
      <c r="G50" s="1">
        <f t="shared" si="2"/>
        <v>2.3465567405582934</v>
      </c>
    </row>
    <row r="51" spans="1:7" x14ac:dyDescent="0.25">
      <c r="A51" s="1">
        <v>2</v>
      </c>
      <c r="B51" s="1" t="s">
        <v>304</v>
      </c>
      <c r="C51" s="6">
        <v>1.6279999999999999</v>
      </c>
      <c r="D51" s="6">
        <v>1.5760000000000001</v>
      </c>
      <c r="E51" s="1">
        <f t="shared" si="0"/>
        <v>1.6019999999999999</v>
      </c>
      <c r="F51" s="1">
        <f t="shared" si="1"/>
        <v>3.6769552621700348E-2</v>
      </c>
      <c r="G51" s="1">
        <f t="shared" si="2"/>
        <v>2.2952280038514576</v>
      </c>
    </row>
    <row r="52" spans="1:7" x14ac:dyDescent="0.25">
      <c r="A52" s="1">
        <v>2</v>
      </c>
      <c r="B52" s="1" t="s">
        <v>304</v>
      </c>
      <c r="C52" s="6">
        <v>1.097</v>
      </c>
      <c r="D52" s="6">
        <v>0.999</v>
      </c>
      <c r="E52" s="1">
        <f t="shared" si="0"/>
        <v>1.048</v>
      </c>
      <c r="F52" s="1">
        <f t="shared" si="1"/>
        <v>6.9296464556281634E-2</v>
      </c>
      <c r="G52" s="1">
        <f t="shared" si="2"/>
        <v>6.6122580683474839</v>
      </c>
    </row>
    <row r="53" spans="1:7" x14ac:dyDescent="0.25">
      <c r="A53" s="1">
        <v>2</v>
      </c>
      <c r="B53" s="1" t="s">
        <v>304</v>
      </c>
      <c r="C53" s="6">
        <v>0.76300000000000001</v>
      </c>
      <c r="D53" s="6">
        <v>0.65300000000000002</v>
      </c>
      <c r="E53" s="1">
        <f t="shared" si="0"/>
        <v>0.70799999999999996</v>
      </c>
      <c r="F53" s="1">
        <f t="shared" si="1"/>
        <v>7.7781745930520216E-2</v>
      </c>
      <c r="G53" s="1">
        <f t="shared" si="2"/>
        <v>10.986122306570653</v>
      </c>
    </row>
    <row r="54" spans="1:7" x14ac:dyDescent="0.25">
      <c r="A54" s="1">
        <v>2</v>
      </c>
      <c r="B54" s="1" t="s">
        <v>304</v>
      </c>
      <c r="C54" s="6">
        <v>0.60799999999999998</v>
      </c>
      <c r="D54" s="6">
        <v>0.56100000000000005</v>
      </c>
      <c r="E54" s="1">
        <f t="shared" si="0"/>
        <v>0.58450000000000002</v>
      </c>
      <c r="F54" s="1">
        <f t="shared" si="1"/>
        <v>3.3234018715767685E-2</v>
      </c>
      <c r="G54" s="1">
        <f t="shared" si="2"/>
        <v>5.6858885741262082</v>
      </c>
    </row>
    <row r="55" spans="1:7" x14ac:dyDescent="0.25">
      <c r="A55" s="1">
        <v>2</v>
      </c>
      <c r="B55" s="1" t="s">
        <v>304</v>
      </c>
      <c r="C55" s="6">
        <v>0.41599999999999998</v>
      </c>
      <c r="D55" s="6">
        <v>0.41099999999999998</v>
      </c>
      <c r="E55" s="1">
        <f t="shared" si="0"/>
        <v>0.41349999999999998</v>
      </c>
      <c r="F55" s="1">
        <f t="shared" si="1"/>
        <v>3.5355339059327407E-3</v>
      </c>
      <c r="G55" s="1">
        <f t="shared" si="2"/>
        <v>0.85502633758953828</v>
      </c>
    </row>
    <row r="56" spans="1:7" x14ac:dyDescent="0.25">
      <c r="A56" s="1">
        <v>2</v>
      </c>
      <c r="B56" s="1" t="s">
        <v>304</v>
      </c>
      <c r="C56" s="6">
        <v>0.23599999999999999</v>
      </c>
      <c r="D56" s="6">
        <v>0.26400000000000001</v>
      </c>
      <c r="E56" s="1">
        <f t="shared" si="0"/>
        <v>0.25</v>
      </c>
      <c r="F56" s="1">
        <f t="shared" si="1"/>
        <v>1.9798989873223347E-2</v>
      </c>
      <c r="G56" s="1">
        <f t="shared" si="2"/>
        <v>7.9195959492893389</v>
      </c>
    </row>
    <row r="57" spans="1:7" x14ac:dyDescent="0.25">
      <c r="A57" s="1">
        <v>2</v>
      </c>
      <c r="B57" s="1" t="s">
        <v>304</v>
      </c>
      <c r="C57" s="6">
        <v>0.189</v>
      </c>
      <c r="D57" s="6">
        <v>0.16900000000000001</v>
      </c>
      <c r="E57" s="1">
        <f t="shared" si="0"/>
        <v>0.17899999999999999</v>
      </c>
      <c r="F57" s="1">
        <f t="shared" si="1"/>
        <v>1.4142135623730944E-2</v>
      </c>
      <c r="G57" s="1">
        <f t="shared" si="2"/>
        <v>7.9006344266653326</v>
      </c>
    </row>
    <row r="58" spans="1:7" x14ac:dyDescent="0.25">
      <c r="A58" s="1">
        <v>2</v>
      </c>
      <c r="B58" s="4" t="s">
        <v>60</v>
      </c>
      <c r="C58" s="6">
        <v>0.189</v>
      </c>
      <c r="D58" s="6">
        <v>0.22700000000000001</v>
      </c>
      <c r="E58" s="1">
        <f t="shared" si="0"/>
        <v>0.20800000000000002</v>
      </c>
      <c r="F58" s="1">
        <f t="shared" si="1"/>
        <v>2.6870057685088811E-2</v>
      </c>
      <c r="G58" s="1">
        <f t="shared" si="2"/>
        <v>12.918296963985004</v>
      </c>
    </row>
    <row r="59" spans="1:7" x14ac:dyDescent="0.25">
      <c r="A59" s="1">
        <v>2</v>
      </c>
      <c r="B59" s="4" t="s">
        <v>61</v>
      </c>
      <c r="C59" s="6">
        <v>0.23300000000000001</v>
      </c>
      <c r="D59" s="6">
        <v>0.221</v>
      </c>
      <c r="E59" s="1">
        <f t="shared" si="0"/>
        <v>0.22700000000000001</v>
      </c>
      <c r="F59" s="1">
        <f t="shared" si="1"/>
        <v>8.4852813742385784E-3</v>
      </c>
      <c r="G59" s="1">
        <f t="shared" si="2"/>
        <v>3.7380094159641311</v>
      </c>
    </row>
    <row r="60" spans="1:7" x14ac:dyDescent="0.25">
      <c r="A60" s="1">
        <v>2</v>
      </c>
      <c r="B60" s="4" t="s">
        <v>62</v>
      </c>
      <c r="C60" s="6">
        <v>0.20899999999999999</v>
      </c>
      <c r="D60" s="6">
        <v>0.16600000000000001</v>
      </c>
      <c r="E60" s="1">
        <f t="shared" si="0"/>
        <v>0.1875</v>
      </c>
      <c r="F60" s="1">
        <f t="shared" si="1"/>
        <v>3.0405591591021457E-2</v>
      </c>
      <c r="G60" s="1">
        <f t="shared" si="2"/>
        <v>16.216315515211445</v>
      </c>
    </row>
    <row r="61" spans="1:7" x14ac:dyDescent="0.25">
      <c r="A61" s="1">
        <v>2</v>
      </c>
      <c r="B61" s="4" t="s">
        <v>63</v>
      </c>
      <c r="C61" s="6">
        <v>0.17699999999999999</v>
      </c>
      <c r="D61" s="6">
        <v>0.192</v>
      </c>
      <c r="E61" s="1">
        <f t="shared" si="0"/>
        <v>0.1845</v>
      </c>
      <c r="F61" s="1">
        <f t="shared" si="1"/>
        <v>1.0606601717798222E-2</v>
      </c>
      <c r="G61" s="1">
        <f t="shared" si="2"/>
        <v>5.7488356194028309</v>
      </c>
    </row>
    <row r="62" spans="1:7" x14ac:dyDescent="0.25">
      <c r="A62" s="1">
        <v>2</v>
      </c>
      <c r="B62" s="4" t="s">
        <v>64</v>
      </c>
      <c r="C62" s="6">
        <v>0.19400000000000001</v>
      </c>
      <c r="D62" s="6">
        <v>0.17</v>
      </c>
      <c r="E62" s="1">
        <f t="shared" si="0"/>
        <v>0.182</v>
      </c>
      <c r="F62" s="1">
        <f t="shared" si="1"/>
        <v>1.6970562748477136E-2</v>
      </c>
      <c r="G62" s="1">
        <f t="shared" si="2"/>
        <v>9.3244850266357897</v>
      </c>
    </row>
    <row r="63" spans="1:7" x14ac:dyDescent="0.25">
      <c r="A63" s="1">
        <v>2</v>
      </c>
      <c r="B63" s="4" t="s">
        <v>65</v>
      </c>
      <c r="C63" s="6">
        <v>0.153</v>
      </c>
      <c r="D63" s="6">
        <v>0.14299999999999999</v>
      </c>
      <c r="E63" s="1">
        <f t="shared" si="0"/>
        <v>0.14799999999999999</v>
      </c>
      <c r="F63" s="1">
        <f t="shared" si="1"/>
        <v>7.0710678118654814E-3</v>
      </c>
      <c r="G63" s="1">
        <f t="shared" si="2"/>
        <v>4.7777485215307305</v>
      </c>
    </row>
    <row r="64" spans="1:7" x14ac:dyDescent="0.25">
      <c r="A64" s="1">
        <v>2</v>
      </c>
      <c r="B64" s="4" t="s">
        <v>66</v>
      </c>
      <c r="C64" s="6">
        <v>0.14099999999999999</v>
      </c>
      <c r="D64" s="6">
        <v>0.19600000000000001</v>
      </c>
      <c r="E64" s="1">
        <f t="shared" si="0"/>
        <v>0.16849999999999998</v>
      </c>
      <c r="F64" s="1">
        <f t="shared" si="1"/>
        <v>3.8890872965260288E-2</v>
      </c>
      <c r="G64" s="1">
        <f t="shared" si="2"/>
        <v>23.080636774635188</v>
      </c>
    </row>
    <row r="65" spans="1:7" x14ac:dyDescent="0.25">
      <c r="A65" s="1">
        <v>2</v>
      </c>
      <c r="B65" s="4" t="s">
        <v>67</v>
      </c>
      <c r="C65" s="6">
        <v>0.20699999999999999</v>
      </c>
      <c r="D65" s="6">
        <v>0.189</v>
      </c>
      <c r="E65" s="1">
        <f t="shared" si="0"/>
        <v>0.19800000000000001</v>
      </c>
      <c r="F65" s="1">
        <f t="shared" si="1"/>
        <v>1.2727922061357847E-2</v>
      </c>
      <c r="G65" s="1">
        <f t="shared" si="2"/>
        <v>6.4282434653322449</v>
      </c>
    </row>
    <row r="66" spans="1:7" x14ac:dyDescent="0.25">
      <c r="A66" s="1">
        <v>2</v>
      </c>
      <c r="B66" s="4" t="s">
        <v>68</v>
      </c>
      <c r="C66" s="6">
        <v>0.189</v>
      </c>
      <c r="D66" s="6">
        <v>0.14099999999999999</v>
      </c>
      <c r="E66" s="1">
        <f t="shared" si="0"/>
        <v>0.16499999999999998</v>
      </c>
      <c r="F66" s="1">
        <f t="shared" si="1"/>
        <v>3.3941125496954487E-2</v>
      </c>
      <c r="G66" s="1">
        <f t="shared" si="2"/>
        <v>20.570379089063326</v>
      </c>
    </row>
    <row r="67" spans="1:7" x14ac:dyDescent="0.25">
      <c r="A67" s="1">
        <v>2</v>
      </c>
      <c r="B67" s="4" t="s">
        <v>69</v>
      </c>
      <c r="C67" s="6">
        <v>0.16</v>
      </c>
      <c r="D67" s="6">
        <v>0.16</v>
      </c>
      <c r="E67" s="1">
        <f t="shared" ref="E67:E130" si="9">AVERAGE(C67:D67)</f>
        <v>0.16</v>
      </c>
      <c r="F67" s="1">
        <f t="shared" ref="F67:F130" si="10">STDEV(C67:D67)</f>
        <v>0</v>
      </c>
      <c r="G67" s="1">
        <f t="shared" ref="G67:G130" si="11">F67*100/E67</f>
        <v>0</v>
      </c>
    </row>
    <row r="68" spans="1:7" x14ac:dyDescent="0.25">
      <c r="A68" s="1">
        <v>2</v>
      </c>
      <c r="B68" s="4" t="s">
        <v>70</v>
      </c>
      <c r="C68" s="6">
        <v>0.127</v>
      </c>
      <c r="D68" s="6">
        <v>0.20499999999999999</v>
      </c>
      <c r="E68" s="1">
        <f t="shared" si="9"/>
        <v>0.16599999999999998</v>
      </c>
      <c r="F68" s="1">
        <f t="shared" si="10"/>
        <v>5.5154328932550796E-2</v>
      </c>
      <c r="G68" s="1">
        <f t="shared" si="11"/>
        <v>33.225499356958316</v>
      </c>
    </row>
    <row r="69" spans="1:7" x14ac:dyDescent="0.25">
      <c r="A69" s="1">
        <v>2</v>
      </c>
      <c r="B69" s="4" t="s">
        <v>71</v>
      </c>
      <c r="C69" s="6">
        <v>0.186</v>
      </c>
      <c r="D69" s="6">
        <v>0.14099999999999999</v>
      </c>
      <c r="E69" s="1">
        <f t="shared" si="9"/>
        <v>0.16349999999999998</v>
      </c>
      <c r="F69" s="1">
        <f t="shared" si="10"/>
        <v>3.1819805153394852E-2</v>
      </c>
      <c r="G69" s="1">
        <f t="shared" si="11"/>
        <v>19.461654528070248</v>
      </c>
    </row>
    <row r="70" spans="1:7" x14ac:dyDescent="0.25">
      <c r="A70" s="1">
        <v>2</v>
      </c>
      <c r="B70" s="4" t="s">
        <v>72</v>
      </c>
      <c r="C70" s="6">
        <v>0.184</v>
      </c>
      <c r="D70" s="6">
        <v>0.17199999999999999</v>
      </c>
      <c r="E70" s="1">
        <f t="shared" si="9"/>
        <v>0.17799999999999999</v>
      </c>
      <c r="F70" s="1">
        <f t="shared" si="10"/>
        <v>8.4852813742385784E-3</v>
      </c>
      <c r="G70" s="1">
        <f t="shared" si="11"/>
        <v>4.7670120079992016</v>
      </c>
    </row>
    <row r="71" spans="1:7" x14ac:dyDescent="0.25">
      <c r="A71" s="1">
        <v>2</v>
      </c>
      <c r="B71" s="4" t="s">
        <v>73</v>
      </c>
      <c r="C71" s="6">
        <v>0.30299999999999999</v>
      </c>
      <c r="D71" s="6">
        <v>0.252</v>
      </c>
      <c r="E71" s="1">
        <f t="shared" si="9"/>
        <v>0.27749999999999997</v>
      </c>
      <c r="F71" s="1">
        <f t="shared" si="10"/>
        <v>3.6062445840513921E-2</v>
      </c>
      <c r="G71" s="1">
        <f t="shared" si="11"/>
        <v>12.995475978563576</v>
      </c>
    </row>
    <row r="72" spans="1:7" x14ac:dyDescent="0.25">
      <c r="A72" s="1">
        <v>2</v>
      </c>
      <c r="B72" s="4" t="s">
        <v>74</v>
      </c>
      <c r="C72" s="6">
        <v>0.182</v>
      </c>
      <c r="D72" s="6">
        <v>0.223</v>
      </c>
      <c r="E72" s="1">
        <f t="shared" si="9"/>
        <v>0.20250000000000001</v>
      </c>
      <c r="F72" s="1">
        <f t="shared" si="10"/>
        <v>2.8991378028648346E-2</v>
      </c>
      <c r="G72" s="1">
        <f t="shared" si="11"/>
        <v>14.31672989069054</v>
      </c>
    </row>
    <row r="73" spans="1:7" x14ac:dyDescent="0.25">
      <c r="A73" s="1">
        <v>2</v>
      </c>
      <c r="B73" s="4" t="s">
        <v>75</v>
      </c>
      <c r="C73" s="6">
        <v>0.188</v>
      </c>
      <c r="D73" s="6">
        <v>0.20799999999999999</v>
      </c>
      <c r="E73" s="1">
        <f t="shared" si="9"/>
        <v>0.19800000000000001</v>
      </c>
      <c r="F73" s="1">
        <f t="shared" si="10"/>
        <v>1.4142135623730944E-2</v>
      </c>
      <c r="G73" s="1">
        <f t="shared" si="11"/>
        <v>7.1424927392580528</v>
      </c>
    </row>
    <row r="74" spans="1:7" x14ac:dyDescent="0.25">
      <c r="A74" s="1">
        <v>2</v>
      </c>
      <c r="B74" s="4" t="s">
        <v>76</v>
      </c>
      <c r="C74" s="6">
        <v>0.155</v>
      </c>
      <c r="D74" s="6">
        <v>0.18</v>
      </c>
      <c r="E74" s="1">
        <f t="shared" si="9"/>
        <v>0.16749999999999998</v>
      </c>
      <c r="F74" s="1">
        <f t="shared" si="10"/>
        <v>1.7677669529663684E-2</v>
      </c>
      <c r="G74" s="1">
        <f t="shared" si="11"/>
        <v>10.553832555023096</v>
      </c>
    </row>
    <row r="75" spans="1:7" x14ac:dyDescent="0.25">
      <c r="A75" s="1">
        <v>2</v>
      </c>
      <c r="B75" s="4" t="s">
        <v>77</v>
      </c>
      <c r="C75" s="6">
        <v>0.51200000000000001</v>
      </c>
      <c r="D75" s="6">
        <v>0.49299999999999999</v>
      </c>
      <c r="E75" s="1">
        <f t="shared" si="9"/>
        <v>0.50249999999999995</v>
      </c>
      <c r="F75" s="1">
        <f t="shared" si="10"/>
        <v>1.3435028842544414E-2</v>
      </c>
      <c r="G75" s="1">
        <f t="shared" si="11"/>
        <v>2.6736375806058539</v>
      </c>
    </row>
    <row r="76" spans="1:7" x14ac:dyDescent="0.25">
      <c r="A76" s="1">
        <v>2</v>
      </c>
      <c r="B76" s="4" t="s">
        <v>78</v>
      </c>
      <c r="C76" s="6">
        <v>0.45100000000000001</v>
      </c>
      <c r="D76" s="6">
        <v>0.55200000000000005</v>
      </c>
      <c r="E76" s="1">
        <f t="shared" si="9"/>
        <v>0.50150000000000006</v>
      </c>
      <c r="F76" s="1">
        <f t="shared" si="10"/>
        <v>7.1417784899840964E-2</v>
      </c>
      <c r="G76" s="1">
        <f t="shared" si="11"/>
        <v>14.240834476538575</v>
      </c>
    </row>
    <row r="77" spans="1:7" x14ac:dyDescent="0.25">
      <c r="A77" s="1">
        <v>2</v>
      </c>
      <c r="B77" s="4" t="s">
        <v>79</v>
      </c>
      <c r="C77" s="6">
        <v>0.28000000000000003</v>
      </c>
      <c r="D77" s="6">
        <v>0.33600000000000002</v>
      </c>
      <c r="E77" s="1">
        <f t="shared" si="9"/>
        <v>0.30800000000000005</v>
      </c>
      <c r="F77" s="1">
        <f t="shared" si="10"/>
        <v>3.9597979746446653E-2</v>
      </c>
      <c r="G77" s="1">
        <f t="shared" si="11"/>
        <v>12.856486930664497</v>
      </c>
    </row>
    <row r="78" spans="1:7" x14ac:dyDescent="0.25">
      <c r="A78" s="1">
        <v>2</v>
      </c>
      <c r="B78" s="4" t="s">
        <v>80</v>
      </c>
      <c r="C78" s="6">
        <v>0.15</v>
      </c>
      <c r="D78" s="6">
        <v>0.16</v>
      </c>
      <c r="E78" s="1">
        <f t="shared" si="9"/>
        <v>0.155</v>
      </c>
      <c r="F78" s="1">
        <f t="shared" si="10"/>
        <v>7.0710678118654814E-3</v>
      </c>
      <c r="G78" s="1">
        <f t="shared" si="11"/>
        <v>4.5619792334616012</v>
      </c>
    </row>
    <row r="79" spans="1:7" x14ac:dyDescent="0.25">
      <c r="A79" s="1">
        <v>2</v>
      </c>
      <c r="B79" s="4" t="s">
        <v>81</v>
      </c>
      <c r="C79" s="6">
        <v>0.17499999999999999</v>
      </c>
      <c r="D79" s="6">
        <v>0.21099999999999999</v>
      </c>
      <c r="E79" s="1">
        <f t="shared" si="9"/>
        <v>0.193</v>
      </c>
      <c r="F79" s="1">
        <f t="shared" si="10"/>
        <v>2.5455844122715714E-2</v>
      </c>
      <c r="G79" s="1">
        <f t="shared" si="11"/>
        <v>13.189556540267208</v>
      </c>
    </row>
    <row r="80" spans="1:7" x14ac:dyDescent="0.25">
      <c r="A80" s="1">
        <v>2</v>
      </c>
      <c r="B80" s="4" t="s">
        <v>82</v>
      </c>
      <c r="C80" s="6">
        <v>0.16300000000000001</v>
      </c>
      <c r="D80" s="6">
        <v>0.17699999999999999</v>
      </c>
      <c r="E80" s="1">
        <f t="shared" si="9"/>
        <v>0.16999999999999998</v>
      </c>
      <c r="F80" s="1">
        <f t="shared" si="10"/>
        <v>9.8994949366116546E-3</v>
      </c>
      <c r="G80" s="1">
        <f t="shared" si="11"/>
        <v>5.8232323156539154</v>
      </c>
    </row>
    <row r="81" spans="1:7" x14ac:dyDescent="0.25">
      <c r="A81" s="1">
        <v>2</v>
      </c>
      <c r="B81" s="4" t="s">
        <v>83</v>
      </c>
      <c r="C81" s="6">
        <v>0.158</v>
      </c>
      <c r="D81" s="6">
        <v>0.193</v>
      </c>
      <c r="E81" s="1">
        <f t="shared" si="9"/>
        <v>0.17549999999999999</v>
      </c>
      <c r="F81" s="1">
        <f t="shared" si="10"/>
        <v>2.4748737341529166E-2</v>
      </c>
      <c r="G81" s="1">
        <f t="shared" si="11"/>
        <v>14.101844639047959</v>
      </c>
    </row>
    <row r="82" spans="1:7" x14ac:dyDescent="0.25">
      <c r="A82" s="1">
        <v>2</v>
      </c>
      <c r="B82" s="4" t="s">
        <v>84</v>
      </c>
      <c r="C82" s="6">
        <v>0.155</v>
      </c>
      <c r="D82" s="6">
        <v>0.17299999999999999</v>
      </c>
      <c r="E82" s="1">
        <f t="shared" si="9"/>
        <v>0.16399999999999998</v>
      </c>
      <c r="F82" s="1">
        <f t="shared" si="10"/>
        <v>1.2727922061357847E-2</v>
      </c>
      <c r="G82" s="1">
        <f t="shared" si="11"/>
        <v>7.7609280861938092</v>
      </c>
    </row>
    <row r="83" spans="1:7" x14ac:dyDescent="0.25">
      <c r="A83" s="1">
        <v>2</v>
      </c>
      <c r="B83" s="4" t="s">
        <v>85</v>
      </c>
      <c r="C83" s="6">
        <v>0.13800000000000001</v>
      </c>
      <c r="D83" s="6">
        <v>0.21199999999999999</v>
      </c>
      <c r="E83" s="1">
        <f t="shared" si="9"/>
        <v>0.17499999999999999</v>
      </c>
      <c r="F83" s="1">
        <f t="shared" si="10"/>
        <v>5.2325901807804623E-2</v>
      </c>
      <c r="G83" s="1">
        <f t="shared" si="11"/>
        <v>29.900515318745502</v>
      </c>
    </row>
    <row r="84" spans="1:7" x14ac:dyDescent="0.25">
      <c r="A84" s="1">
        <v>2</v>
      </c>
      <c r="B84" s="4" t="s">
        <v>86</v>
      </c>
      <c r="C84" s="6">
        <v>0.20699999999999999</v>
      </c>
      <c r="D84" s="6">
        <v>0.17299999999999999</v>
      </c>
      <c r="E84" s="1">
        <f t="shared" si="9"/>
        <v>0.19</v>
      </c>
      <c r="F84" s="1">
        <f t="shared" si="10"/>
        <v>2.4041630560342617E-2</v>
      </c>
      <c r="G84" s="1">
        <f t="shared" si="11"/>
        <v>12.653489768601377</v>
      </c>
    </row>
    <row r="85" spans="1:7" x14ac:dyDescent="0.25">
      <c r="A85" s="1">
        <v>2</v>
      </c>
      <c r="B85" s="4" t="s">
        <v>87</v>
      </c>
      <c r="C85" s="6">
        <v>0.17899999999999999</v>
      </c>
      <c r="D85" s="6">
        <v>0.23300000000000001</v>
      </c>
      <c r="E85" s="1">
        <f t="shared" si="9"/>
        <v>0.20600000000000002</v>
      </c>
      <c r="F85" s="1">
        <f t="shared" si="10"/>
        <v>3.8183766184073396E-2</v>
      </c>
      <c r="G85" s="1">
        <f t="shared" si="11"/>
        <v>18.535808827220094</v>
      </c>
    </row>
    <row r="86" spans="1:7" x14ac:dyDescent="0.25">
      <c r="A86" s="1">
        <v>2</v>
      </c>
      <c r="B86" s="4" t="s">
        <v>88</v>
      </c>
      <c r="C86" s="6">
        <v>0.14399999999999999</v>
      </c>
      <c r="D86" s="6">
        <v>0.14699999999999999</v>
      </c>
      <c r="E86" s="1">
        <f t="shared" si="9"/>
        <v>0.14549999999999999</v>
      </c>
      <c r="F86" s="1">
        <f t="shared" si="10"/>
        <v>2.1213203435596446E-3</v>
      </c>
      <c r="G86" s="1">
        <f t="shared" si="11"/>
        <v>1.4579521261578314</v>
      </c>
    </row>
    <row r="87" spans="1:7" x14ac:dyDescent="0.25">
      <c r="A87" s="1">
        <v>2</v>
      </c>
      <c r="B87" s="4" t="s">
        <v>89</v>
      </c>
      <c r="C87" s="6">
        <v>0.21199999999999999</v>
      </c>
      <c r="D87" s="6">
        <v>0.221</v>
      </c>
      <c r="E87" s="1">
        <f t="shared" si="9"/>
        <v>0.2165</v>
      </c>
      <c r="F87" s="1">
        <f t="shared" si="10"/>
        <v>6.3639610306789329E-3</v>
      </c>
      <c r="G87" s="1">
        <f t="shared" si="11"/>
        <v>2.9394739171727173</v>
      </c>
    </row>
    <row r="88" spans="1:7" x14ac:dyDescent="0.25">
      <c r="A88" s="1">
        <v>2</v>
      </c>
      <c r="B88" s="1" t="s">
        <v>305</v>
      </c>
      <c r="C88" s="6">
        <v>0.123</v>
      </c>
      <c r="D88" s="6">
        <v>0.154</v>
      </c>
      <c r="E88" s="1">
        <f t="shared" si="9"/>
        <v>0.13850000000000001</v>
      </c>
      <c r="F88" s="1">
        <f t="shared" si="10"/>
        <v>2.1920310216782854E-2</v>
      </c>
      <c r="G88" s="1">
        <f t="shared" si="11"/>
        <v>15.82693878468076</v>
      </c>
    </row>
    <row r="89" spans="1:7" x14ac:dyDescent="0.25">
      <c r="A89" s="1">
        <v>2</v>
      </c>
      <c r="B89" s="1" t="s">
        <v>305</v>
      </c>
      <c r="C89" s="6">
        <v>0.13600000000000001</v>
      </c>
      <c r="D89" s="6">
        <v>0.14599999999999999</v>
      </c>
      <c r="E89" s="1">
        <f t="shared" si="9"/>
        <v>0.14100000000000001</v>
      </c>
      <c r="F89" s="1">
        <f t="shared" si="10"/>
        <v>7.0710678118654623E-3</v>
      </c>
      <c r="G89" s="1">
        <f t="shared" si="11"/>
        <v>5.0149417105428808</v>
      </c>
    </row>
    <row r="90" spans="1:7" x14ac:dyDescent="0.25">
      <c r="A90" s="1">
        <v>2</v>
      </c>
      <c r="B90" s="1" t="s">
        <v>305</v>
      </c>
      <c r="C90" s="6">
        <v>4.1000000000000002E-2</v>
      </c>
      <c r="D90" s="6">
        <v>4.1000000000000002E-2</v>
      </c>
      <c r="E90" s="1">
        <f t="shared" si="9"/>
        <v>4.1000000000000002E-2</v>
      </c>
      <c r="F90" s="1">
        <f t="shared" si="10"/>
        <v>0</v>
      </c>
      <c r="G90" s="1">
        <f t="shared" si="11"/>
        <v>0</v>
      </c>
    </row>
    <row r="91" spans="1:7" x14ac:dyDescent="0.25">
      <c r="A91" s="1">
        <v>2</v>
      </c>
      <c r="B91" s="1" t="s">
        <v>305</v>
      </c>
      <c r="C91" s="6">
        <v>4.1000000000000002E-2</v>
      </c>
      <c r="D91" s="6">
        <v>0.04</v>
      </c>
      <c r="E91" s="1">
        <f t="shared" si="9"/>
        <v>4.0500000000000001E-2</v>
      </c>
      <c r="F91" s="1">
        <f t="shared" si="10"/>
        <v>7.0710678118654816E-4</v>
      </c>
      <c r="G91" s="1">
        <f t="shared" si="11"/>
        <v>1.7459426695964153</v>
      </c>
    </row>
    <row r="92" spans="1:7" x14ac:dyDescent="0.25">
      <c r="A92" s="1">
        <v>2</v>
      </c>
      <c r="B92" s="1" t="s">
        <v>305</v>
      </c>
      <c r="C92" s="6">
        <v>4.1000000000000002E-2</v>
      </c>
      <c r="D92" s="6">
        <v>0.04</v>
      </c>
      <c r="E92" s="1">
        <f t="shared" si="9"/>
        <v>4.0500000000000001E-2</v>
      </c>
      <c r="F92" s="1">
        <f t="shared" si="10"/>
        <v>7.0710678118654816E-4</v>
      </c>
      <c r="G92" s="1">
        <f t="shared" si="11"/>
        <v>1.7459426695964153</v>
      </c>
    </row>
    <row r="93" spans="1:7" x14ac:dyDescent="0.25">
      <c r="A93" s="1">
        <v>2</v>
      </c>
      <c r="B93" s="1" t="s">
        <v>305</v>
      </c>
      <c r="C93" s="6">
        <v>4.1000000000000002E-2</v>
      </c>
      <c r="D93" s="6">
        <v>0.04</v>
      </c>
      <c r="E93" s="1">
        <f t="shared" si="9"/>
        <v>4.0500000000000001E-2</v>
      </c>
      <c r="F93" s="1">
        <f t="shared" si="10"/>
        <v>7.0710678118654816E-4</v>
      </c>
      <c r="G93" s="1">
        <f t="shared" si="11"/>
        <v>1.7459426695964153</v>
      </c>
    </row>
    <row r="94" spans="1:7" x14ac:dyDescent="0.25">
      <c r="A94" s="1">
        <v>2</v>
      </c>
      <c r="B94" s="1" t="s">
        <v>305</v>
      </c>
      <c r="C94" s="6">
        <v>4.2000000000000003E-2</v>
      </c>
      <c r="D94" s="6">
        <v>0.04</v>
      </c>
      <c r="E94" s="1">
        <f t="shared" si="9"/>
        <v>4.1000000000000002E-2</v>
      </c>
      <c r="F94" s="1">
        <f t="shared" si="10"/>
        <v>1.4142135623730963E-3</v>
      </c>
      <c r="G94" s="1">
        <f t="shared" si="11"/>
        <v>3.4493013716416985</v>
      </c>
    </row>
    <row r="95" spans="1:7" x14ac:dyDescent="0.25">
      <c r="A95" s="1">
        <v>2</v>
      </c>
      <c r="B95" s="1" t="s">
        <v>305</v>
      </c>
      <c r="C95" s="6">
        <v>4.1000000000000002E-2</v>
      </c>
      <c r="D95" s="6">
        <v>4.2000000000000003E-2</v>
      </c>
      <c r="E95" s="1">
        <f t="shared" si="9"/>
        <v>4.1500000000000002E-2</v>
      </c>
      <c r="F95" s="1">
        <f t="shared" si="10"/>
        <v>7.0710678118654816E-4</v>
      </c>
      <c r="G95" s="1">
        <f t="shared" si="11"/>
        <v>1.7038717618952968</v>
      </c>
    </row>
    <row r="96" spans="1:7" x14ac:dyDescent="0.25">
      <c r="A96" s="1">
        <v>2</v>
      </c>
      <c r="B96" s="1" t="s">
        <v>305</v>
      </c>
      <c r="C96" s="6">
        <v>4.1000000000000002E-2</v>
      </c>
      <c r="D96" s="6">
        <v>4.1000000000000002E-2</v>
      </c>
      <c r="E96" s="1">
        <f t="shared" si="9"/>
        <v>4.1000000000000002E-2</v>
      </c>
      <c r="F96" s="1">
        <f t="shared" si="10"/>
        <v>0</v>
      </c>
      <c r="G96" s="1">
        <f t="shared" si="11"/>
        <v>0</v>
      </c>
    </row>
    <row r="97" spans="1:7" x14ac:dyDescent="0.25">
      <c r="A97" s="1">
        <v>2</v>
      </c>
      <c r="B97" s="1" t="s">
        <v>305</v>
      </c>
      <c r="C97" s="6">
        <v>4.1000000000000002E-2</v>
      </c>
      <c r="D97" s="6">
        <v>5.2999999999999999E-2</v>
      </c>
      <c r="E97" s="1">
        <f t="shared" si="9"/>
        <v>4.7E-2</v>
      </c>
      <c r="F97" s="1">
        <f t="shared" si="10"/>
        <v>8.4852813742385715E-3</v>
      </c>
      <c r="G97" s="1">
        <f t="shared" si="11"/>
        <v>18.053790157954406</v>
      </c>
    </row>
    <row r="98" spans="1:7" x14ac:dyDescent="0.25">
      <c r="A98" s="1">
        <v>3</v>
      </c>
      <c r="B98" s="1" t="s">
        <v>304</v>
      </c>
      <c r="C98" s="6">
        <v>2.0630000000000002</v>
      </c>
      <c r="D98" s="6">
        <v>2.0209999999999999</v>
      </c>
      <c r="E98" s="1">
        <f t="shared" si="9"/>
        <v>2.0419999999999998</v>
      </c>
      <c r="F98" s="1">
        <f t="shared" si="10"/>
        <v>2.9698484809835179E-2</v>
      </c>
      <c r="G98" s="1">
        <f t="shared" si="11"/>
        <v>1.4543822139978051</v>
      </c>
    </row>
    <row r="99" spans="1:7" x14ac:dyDescent="0.25">
      <c r="A99" s="1">
        <v>3</v>
      </c>
      <c r="B99" s="1" t="s">
        <v>304</v>
      </c>
      <c r="C99" s="6">
        <v>1.46</v>
      </c>
      <c r="D99" s="6">
        <v>1.43</v>
      </c>
      <c r="E99" s="1">
        <f t="shared" si="9"/>
        <v>1.4449999999999998</v>
      </c>
      <c r="F99" s="1">
        <f t="shared" si="10"/>
        <v>2.1213203435596444E-2</v>
      </c>
      <c r="G99" s="1">
        <f t="shared" si="11"/>
        <v>1.4680417602488891</v>
      </c>
    </row>
    <row r="100" spans="1:7" x14ac:dyDescent="0.25">
      <c r="A100" s="1">
        <v>3</v>
      </c>
      <c r="B100" s="1" t="s">
        <v>304</v>
      </c>
      <c r="C100" s="6">
        <v>0.89</v>
      </c>
      <c r="D100" s="6">
        <v>0.89300000000000002</v>
      </c>
      <c r="E100" s="1">
        <f t="shared" si="9"/>
        <v>0.89149999999999996</v>
      </c>
      <c r="F100" s="1">
        <f t="shared" si="10"/>
        <v>2.1213203435596446E-3</v>
      </c>
      <c r="G100" s="1">
        <f t="shared" si="11"/>
        <v>0.23794956181263541</v>
      </c>
    </row>
    <row r="101" spans="1:7" x14ac:dyDescent="0.25">
      <c r="A101" s="1">
        <v>3</v>
      </c>
      <c r="B101" s="1" t="s">
        <v>304</v>
      </c>
      <c r="C101" s="6">
        <v>0.54300000000000004</v>
      </c>
      <c r="D101" s="6">
        <v>0.56200000000000006</v>
      </c>
      <c r="E101" s="1">
        <f t="shared" si="9"/>
        <v>0.55249999999999999</v>
      </c>
      <c r="F101" s="1">
        <f t="shared" si="10"/>
        <v>1.3435028842544414E-2</v>
      </c>
      <c r="G101" s="1">
        <f t="shared" si="11"/>
        <v>2.4316794285148262</v>
      </c>
    </row>
    <row r="102" spans="1:7" x14ac:dyDescent="0.25">
      <c r="A102" s="1">
        <v>3</v>
      </c>
      <c r="B102" s="1" t="s">
        <v>304</v>
      </c>
      <c r="C102" s="6">
        <v>0.4</v>
      </c>
      <c r="D102" s="6">
        <v>0.42499999999999999</v>
      </c>
      <c r="E102" s="1">
        <f t="shared" si="9"/>
        <v>0.41249999999999998</v>
      </c>
      <c r="F102" s="1">
        <f t="shared" si="10"/>
        <v>1.7677669529663664E-2</v>
      </c>
      <c r="G102" s="1">
        <f t="shared" si="11"/>
        <v>4.2854956435548281</v>
      </c>
    </row>
    <row r="103" spans="1:7" x14ac:dyDescent="0.25">
      <c r="A103" s="1">
        <v>3</v>
      </c>
      <c r="B103" s="1" t="s">
        <v>304</v>
      </c>
      <c r="C103" s="6">
        <v>0.309</v>
      </c>
      <c r="D103" s="6">
        <v>0.34</v>
      </c>
      <c r="E103" s="1">
        <f t="shared" si="9"/>
        <v>0.32450000000000001</v>
      </c>
      <c r="F103" s="1">
        <f t="shared" si="10"/>
        <v>2.1920310216782993E-2</v>
      </c>
      <c r="G103" s="1">
        <f t="shared" si="11"/>
        <v>6.7551033025525395</v>
      </c>
    </row>
    <row r="104" spans="1:7" x14ac:dyDescent="0.25">
      <c r="A104" s="1">
        <v>3</v>
      </c>
      <c r="B104" s="1" t="s">
        <v>304</v>
      </c>
      <c r="C104" s="6">
        <v>0.26700000000000002</v>
      </c>
      <c r="D104" s="6">
        <v>0.185</v>
      </c>
      <c r="E104" s="1">
        <f t="shared" si="9"/>
        <v>0.22600000000000001</v>
      </c>
      <c r="F104" s="1">
        <f t="shared" si="10"/>
        <v>5.798275605729681E-2</v>
      </c>
      <c r="G104" s="1">
        <f t="shared" si="11"/>
        <v>25.656086751016286</v>
      </c>
    </row>
    <row r="105" spans="1:7" x14ac:dyDescent="0.25">
      <c r="A105" s="1">
        <v>3</v>
      </c>
      <c r="B105" s="1" t="s">
        <v>304</v>
      </c>
      <c r="C105" s="6">
        <v>0.159</v>
      </c>
      <c r="D105" s="6">
        <v>0.128</v>
      </c>
      <c r="E105" s="1">
        <f t="shared" si="9"/>
        <v>0.14350000000000002</v>
      </c>
      <c r="F105" s="1">
        <f t="shared" si="10"/>
        <v>2.1920310216782698E-2</v>
      </c>
      <c r="G105" s="1">
        <f t="shared" si="11"/>
        <v>15.275477502984458</v>
      </c>
    </row>
    <row r="106" spans="1:7" x14ac:dyDescent="0.25">
      <c r="A106" s="1">
        <v>3</v>
      </c>
      <c r="B106" s="4" t="s">
        <v>100</v>
      </c>
      <c r="C106" s="6">
        <v>0.30299999999999999</v>
      </c>
      <c r="D106" s="6">
        <v>0.32600000000000001</v>
      </c>
      <c r="E106" s="1">
        <f t="shared" si="9"/>
        <v>0.3145</v>
      </c>
      <c r="F106" s="1">
        <f t="shared" si="10"/>
        <v>1.6263455967290608E-2</v>
      </c>
      <c r="G106" s="1">
        <f t="shared" si="11"/>
        <v>5.1712101644803203</v>
      </c>
    </row>
    <row r="107" spans="1:7" x14ac:dyDescent="0.25">
      <c r="A107" s="1">
        <v>3</v>
      </c>
      <c r="B107" s="4" t="s">
        <v>101</v>
      </c>
      <c r="C107" s="6">
        <v>0.499</v>
      </c>
      <c r="D107" s="6">
        <v>0.51400000000000001</v>
      </c>
      <c r="E107" s="1">
        <f t="shared" si="9"/>
        <v>0.50649999999999995</v>
      </c>
      <c r="F107" s="1">
        <f t="shared" si="10"/>
        <v>1.0606601717798222E-2</v>
      </c>
      <c r="G107" s="1">
        <f t="shared" si="11"/>
        <v>2.0940970815001432</v>
      </c>
    </row>
    <row r="108" spans="1:7" x14ac:dyDescent="0.25">
      <c r="A108" s="1">
        <v>3</v>
      </c>
      <c r="B108" s="4" t="s">
        <v>102</v>
      </c>
      <c r="C108" s="6">
        <v>0.32300000000000001</v>
      </c>
      <c r="D108" s="6">
        <v>0.34599999999999997</v>
      </c>
      <c r="E108" s="1">
        <f t="shared" si="9"/>
        <v>0.33450000000000002</v>
      </c>
      <c r="F108" s="1">
        <f t="shared" si="10"/>
        <v>1.626345596729057E-2</v>
      </c>
      <c r="G108" s="1">
        <f t="shared" si="11"/>
        <v>4.8620197211631</v>
      </c>
    </row>
    <row r="109" spans="1:7" x14ac:dyDescent="0.25">
      <c r="A109" s="1">
        <v>3</v>
      </c>
      <c r="B109" s="4" t="s">
        <v>103</v>
      </c>
      <c r="C109" s="6">
        <v>0.28100000000000003</v>
      </c>
      <c r="D109" s="6">
        <v>0.28199999999999997</v>
      </c>
      <c r="E109" s="1">
        <f t="shared" si="9"/>
        <v>0.28149999999999997</v>
      </c>
      <c r="F109" s="1">
        <f t="shared" si="10"/>
        <v>7.0710678118650892E-4</v>
      </c>
      <c r="G109" s="1">
        <f t="shared" si="11"/>
        <v>0.25119246223321812</v>
      </c>
    </row>
    <row r="110" spans="1:7" x14ac:dyDescent="0.25">
      <c r="A110" s="1">
        <v>3</v>
      </c>
      <c r="B110" s="4" t="s">
        <v>104</v>
      </c>
      <c r="C110" s="6">
        <v>0.24</v>
      </c>
      <c r="D110" s="6">
        <v>0.223</v>
      </c>
      <c r="E110" s="1">
        <f t="shared" si="9"/>
        <v>0.23149999999999998</v>
      </c>
      <c r="F110" s="1">
        <f t="shared" si="10"/>
        <v>1.2020815280171298E-2</v>
      </c>
      <c r="G110" s="1">
        <f t="shared" si="11"/>
        <v>5.1925767948904094</v>
      </c>
    </row>
    <row r="111" spans="1:7" x14ac:dyDescent="0.25">
      <c r="A111" s="1">
        <v>3</v>
      </c>
      <c r="B111" s="4" t="s">
        <v>105</v>
      </c>
      <c r="C111" s="6">
        <v>0.32400000000000001</v>
      </c>
      <c r="D111" s="6">
        <v>0.23899999999999999</v>
      </c>
      <c r="E111" s="1">
        <f t="shared" si="9"/>
        <v>0.28149999999999997</v>
      </c>
      <c r="F111" s="1">
        <f t="shared" si="10"/>
        <v>6.0104076400856694E-2</v>
      </c>
      <c r="G111" s="1">
        <f t="shared" si="11"/>
        <v>21.35135928982476</v>
      </c>
    </row>
    <row r="112" spans="1:7" x14ac:dyDescent="0.25">
      <c r="A112" s="1">
        <v>3</v>
      </c>
      <c r="B112" s="4" t="s">
        <v>106</v>
      </c>
      <c r="C112" s="6">
        <v>0.39100000000000001</v>
      </c>
      <c r="D112" s="6">
        <v>0.39500000000000002</v>
      </c>
      <c r="E112" s="1">
        <f t="shared" si="9"/>
        <v>0.39300000000000002</v>
      </c>
      <c r="F112" s="1">
        <f t="shared" si="10"/>
        <v>2.8284271247461927E-3</v>
      </c>
      <c r="G112" s="1">
        <f t="shared" si="11"/>
        <v>0.71970155845959105</v>
      </c>
    </row>
    <row r="113" spans="1:7" x14ac:dyDescent="0.25">
      <c r="A113" s="1">
        <v>3</v>
      </c>
      <c r="B113" s="4" t="s">
        <v>107</v>
      </c>
      <c r="C113" s="6">
        <v>0.42299999999999999</v>
      </c>
      <c r="D113" s="6">
        <v>0.38200000000000001</v>
      </c>
      <c r="E113" s="1">
        <f t="shared" si="9"/>
        <v>0.40249999999999997</v>
      </c>
      <c r="F113" s="1">
        <f t="shared" si="10"/>
        <v>2.8991378028648436E-2</v>
      </c>
      <c r="G113" s="1">
        <f t="shared" si="11"/>
        <v>7.2028268394157609</v>
      </c>
    </row>
    <row r="114" spans="1:7" x14ac:dyDescent="0.25">
      <c r="A114" s="1">
        <v>3</v>
      </c>
      <c r="B114" s="4" t="s">
        <v>108</v>
      </c>
      <c r="C114" s="6">
        <v>0.25900000000000001</v>
      </c>
      <c r="D114" s="6">
        <v>0.25600000000000001</v>
      </c>
      <c r="E114" s="1">
        <f t="shared" si="9"/>
        <v>0.25750000000000001</v>
      </c>
      <c r="F114" s="1">
        <f t="shared" si="10"/>
        <v>2.1213203435596446E-3</v>
      </c>
      <c r="G114" s="1">
        <f t="shared" si="11"/>
        <v>0.82381372565423083</v>
      </c>
    </row>
    <row r="115" spans="1:7" x14ac:dyDescent="0.25">
      <c r="A115" s="1">
        <v>3</v>
      </c>
      <c r="B115" s="4" t="s">
        <v>109</v>
      </c>
      <c r="C115" s="6">
        <v>0.39800000000000002</v>
      </c>
      <c r="D115" s="6">
        <v>0.33300000000000002</v>
      </c>
      <c r="E115" s="1">
        <f t="shared" si="9"/>
        <v>0.36550000000000005</v>
      </c>
      <c r="F115" s="1">
        <f t="shared" si="10"/>
        <v>4.5961940777125586E-2</v>
      </c>
      <c r="G115" s="1">
        <f t="shared" si="11"/>
        <v>12.575086395930391</v>
      </c>
    </row>
    <row r="116" spans="1:7" x14ac:dyDescent="0.25">
      <c r="A116" s="1">
        <v>3</v>
      </c>
      <c r="B116" s="4" t="s">
        <v>110</v>
      </c>
      <c r="C116" s="6">
        <v>0.11799999999999999</v>
      </c>
      <c r="D116" s="6">
        <v>0.16600000000000001</v>
      </c>
      <c r="E116" s="1">
        <f t="shared" si="9"/>
        <v>0.14200000000000002</v>
      </c>
      <c r="F116" s="1">
        <f t="shared" si="10"/>
        <v>3.3941125496954182E-2</v>
      </c>
      <c r="G116" s="1">
        <f t="shared" si="11"/>
        <v>23.902201054193085</v>
      </c>
    </row>
    <row r="117" spans="1:7" x14ac:dyDescent="0.25">
      <c r="A117" s="1">
        <v>3</v>
      </c>
      <c r="B117" s="4" t="s">
        <v>111</v>
      </c>
      <c r="C117" s="6">
        <v>0.14899999999999999</v>
      </c>
      <c r="D117" s="6">
        <v>0.14399999999999999</v>
      </c>
      <c r="E117" s="1">
        <f t="shared" si="9"/>
        <v>0.14649999999999999</v>
      </c>
      <c r="F117" s="1">
        <f t="shared" si="10"/>
        <v>3.5355339059327407E-3</v>
      </c>
      <c r="G117" s="1">
        <f t="shared" si="11"/>
        <v>2.4133337241861712</v>
      </c>
    </row>
    <row r="118" spans="1:7" x14ac:dyDescent="0.25">
      <c r="A118" s="1">
        <v>3</v>
      </c>
      <c r="B118" s="4" t="s">
        <v>112</v>
      </c>
      <c r="C118" s="6">
        <v>0.13400000000000001</v>
      </c>
      <c r="D118" s="6">
        <v>0.157</v>
      </c>
      <c r="E118" s="1">
        <f t="shared" si="9"/>
        <v>0.14550000000000002</v>
      </c>
      <c r="F118" s="1">
        <f t="shared" si="10"/>
        <v>1.6263455967290587E-2</v>
      </c>
      <c r="G118" s="1">
        <f t="shared" si="11"/>
        <v>11.177632967210025</v>
      </c>
    </row>
    <row r="119" spans="1:7" x14ac:dyDescent="0.25">
      <c r="A119" s="1">
        <v>3</v>
      </c>
      <c r="B119" s="4" t="s">
        <v>113</v>
      </c>
      <c r="C119" s="6">
        <v>0.14499999999999999</v>
      </c>
      <c r="D119" s="6">
        <v>0.158</v>
      </c>
      <c r="E119" s="1">
        <f t="shared" si="9"/>
        <v>0.1515</v>
      </c>
      <c r="F119" s="1">
        <f t="shared" si="10"/>
        <v>9.1923881554251269E-3</v>
      </c>
      <c r="G119" s="1">
        <f t="shared" si="11"/>
        <v>6.0675829408746713</v>
      </c>
    </row>
    <row r="120" spans="1:7" x14ac:dyDescent="0.25">
      <c r="A120" s="1">
        <v>3</v>
      </c>
      <c r="B120" s="4" t="s">
        <v>114</v>
      </c>
      <c r="C120" s="6">
        <v>0.17100000000000001</v>
      </c>
      <c r="D120" s="6">
        <v>0.16500000000000001</v>
      </c>
      <c r="E120" s="1">
        <f t="shared" si="9"/>
        <v>0.16800000000000001</v>
      </c>
      <c r="F120" s="1">
        <f t="shared" si="10"/>
        <v>4.2426406871192892E-3</v>
      </c>
      <c r="G120" s="1">
        <f t="shared" si="11"/>
        <v>2.5253813613805289</v>
      </c>
    </row>
    <row r="121" spans="1:7" x14ac:dyDescent="0.25">
      <c r="A121" s="1">
        <v>3</v>
      </c>
      <c r="B121" s="4" t="s">
        <v>115</v>
      </c>
      <c r="C121" s="6">
        <v>0.153</v>
      </c>
      <c r="D121" s="6">
        <v>0.16700000000000001</v>
      </c>
      <c r="E121" s="1">
        <f t="shared" si="9"/>
        <v>0.16</v>
      </c>
      <c r="F121" s="1">
        <f t="shared" si="10"/>
        <v>9.8994949366116736E-3</v>
      </c>
      <c r="G121" s="1">
        <f t="shared" si="11"/>
        <v>6.1871843353822955</v>
      </c>
    </row>
    <row r="122" spans="1:7" x14ac:dyDescent="0.25">
      <c r="A122" s="1">
        <v>3</v>
      </c>
      <c r="B122" s="4" t="s">
        <v>116</v>
      </c>
      <c r="C122" s="6">
        <v>0.13400000000000001</v>
      </c>
      <c r="D122" s="6">
        <v>0.13800000000000001</v>
      </c>
      <c r="E122" s="1">
        <f t="shared" si="9"/>
        <v>0.13600000000000001</v>
      </c>
      <c r="F122" s="1">
        <f t="shared" si="10"/>
        <v>2.8284271247461927E-3</v>
      </c>
      <c r="G122" s="1">
        <f t="shared" si="11"/>
        <v>2.0797258270192591</v>
      </c>
    </row>
    <row r="123" spans="1:7" x14ac:dyDescent="0.25">
      <c r="A123" s="1">
        <v>3</v>
      </c>
      <c r="B123" s="4" t="s">
        <v>117</v>
      </c>
      <c r="C123" s="6">
        <v>0.16200000000000001</v>
      </c>
      <c r="D123" s="6">
        <v>0.19900000000000001</v>
      </c>
      <c r="E123" s="1">
        <f t="shared" si="9"/>
        <v>0.18049999999999999</v>
      </c>
      <c r="F123" s="1">
        <f t="shared" si="10"/>
        <v>2.6162950903902346E-2</v>
      </c>
      <c r="G123" s="1">
        <f t="shared" si="11"/>
        <v>14.494709642051161</v>
      </c>
    </row>
    <row r="124" spans="1:7" x14ac:dyDescent="0.25">
      <c r="A124" s="1">
        <v>3</v>
      </c>
      <c r="B124" s="4" t="s">
        <v>118</v>
      </c>
      <c r="C124" s="6">
        <v>0.121</v>
      </c>
      <c r="D124" s="6">
        <v>0.113</v>
      </c>
      <c r="E124" s="1">
        <f t="shared" si="9"/>
        <v>0.11699999999999999</v>
      </c>
      <c r="F124" s="1">
        <f t="shared" si="10"/>
        <v>5.6568542494923758E-3</v>
      </c>
      <c r="G124" s="1">
        <f t="shared" si="11"/>
        <v>4.8349181619592958</v>
      </c>
    </row>
    <row r="125" spans="1:7" x14ac:dyDescent="0.25">
      <c r="A125" s="1">
        <v>3</v>
      </c>
      <c r="B125" s="4" t="s">
        <v>119</v>
      </c>
      <c r="C125" s="6">
        <v>0.153</v>
      </c>
      <c r="D125" s="6">
        <v>0.124</v>
      </c>
      <c r="E125" s="1">
        <f t="shared" si="9"/>
        <v>0.13850000000000001</v>
      </c>
      <c r="F125" s="1">
        <f t="shared" si="10"/>
        <v>2.0506096654409642E-2</v>
      </c>
      <c r="G125" s="1">
        <f t="shared" si="11"/>
        <v>14.805845959862557</v>
      </c>
    </row>
    <row r="126" spans="1:7" x14ac:dyDescent="0.25">
      <c r="A126" s="1">
        <v>3</v>
      </c>
      <c r="B126" s="4" t="s">
        <v>90</v>
      </c>
      <c r="C126" s="6">
        <v>0.18099999999999999</v>
      </c>
      <c r="D126" s="6">
        <v>0.14599999999999999</v>
      </c>
      <c r="E126" s="1">
        <f t="shared" si="9"/>
        <v>0.16349999999999998</v>
      </c>
      <c r="F126" s="1">
        <f t="shared" si="10"/>
        <v>2.4748737341529482E-2</v>
      </c>
      <c r="G126" s="1">
        <f t="shared" si="11"/>
        <v>15.136842410721398</v>
      </c>
    </row>
    <row r="127" spans="1:7" x14ac:dyDescent="0.25">
      <c r="A127" s="1">
        <v>3</v>
      </c>
      <c r="B127" s="4" t="s">
        <v>91</v>
      </c>
      <c r="C127" s="6">
        <v>0.28100000000000003</v>
      </c>
      <c r="D127" s="6">
        <v>0.32100000000000001</v>
      </c>
      <c r="E127" s="1">
        <f t="shared" si="9"/>
        <v>0.30100000000000005</v>
      </c>
      <c r="F127" s="1">
        <f t="shared" si="10"/>
        <v>2.8284271247461888E-2</v>
      </c>
      <c r="G127" s="1">
        <f t="shared" si="11"/>
        <v>9.3967678562996291</v>
      </c>
    </row>
    <row r="128" spans="1:7" x14ac:dyDescent="0.25">
      <c r="A128" s="1">
        <v>3</v>
      </c>
      <c r="B128" s="4" t="s">
        <v>92</v>
      </c>
      <c r="C128" s="6">
        <v>0.247</v>
      </c>
      <c r="D128" s="6">
        <v>0.223</v>
      </c>
      <c r="E128" s="1">
        <f t="shared" si="9"/>
        <v>0.23499999999999999</v>
      </c>
      <c r="F128" s="1">
        <f t="shared" si="10"/>
        <v>1.6970562748477136E-2</v>
      </c>
      <c r="G128" s="1">
        <f t="shared" si="11"/>
        <v>7.2215160631817605</v>
      </c>
    </row>
    <row r="129" spans="1:7" x14ac:dyDescent="0.25">
      <c r="A129" s="1">
        <v>3</v>
      </c>
      <c r="B129" s="4" t="s">
        <v>93</v>
      </c>
      <c r="C129" s="6">
        <v>0.19500000000000001</v>
      </c>
      <c r="D129" s="6">
        <v>0.155</v>
      </c>
      <c r="E129" s="1">
        <f t="shared" si="9"/>
        <v>0.17499999999999999</v>
      </c>
      <c r="F129" s="1">
        <f t="shared" si="10"/>
        <v>2.8284271247462182E-2</v>
      </c>
      <c r="G129" s="1">
        <f t="shared" si="11"/>
        <v>16.162440712835533</v>
      </c>
    </row>
    <row r="130" spans="1:7" x14ac:dyDescent="0.25">
      <c r="A130" s="1">
        <v>3</v>
      </c>
      <c r="B130" s="4" t="s">
        <v>94</v>
      </c>
      <c r="C130" s="6">
        <v>0.18099999999999999</v>
      </c>
      <c r="D130" s="6">
        <v>0.16700000000000001</v>
      </c>
      <c r="E130" s="1">
        <f t="shared" si="9"/>
        <v>0.17399999999999999</v>
      </c>
      <c r="F130" s="1">
        <f t="shared" si="10"/>
        <v>9.8994949366116546E-3</v>
      </c>
      <c r="G130" s="1">
        <f t="shared" si="11"/>
        <v>5.6893649060986524</v>
      </c>
    </row>
    <row r="131" spans="1:7" x14ac:dyDescent="0.25">
      <c r="A131" s="1">
        <v>3</v>
      </c>
      <c r="B131" s="4" t="s">
        <v>95</v>
      </c>
      <c r="C131" s="6">
        <v>0.14599999999999999</v>
      </c>
      <c r="D131" s="6">
        <v>0.17</v>
      </c>
      <c r="E131" s="1">
        <f t="shared" ref="E131:E193" si="12">AVERAGE(C131:D131)</f>
        <v>0.158</v>
      </c>
      <c r="F131" s="1">
        <f t="shared" ref="F131:F193" si="13">STDEV(C131:D131)</f>
        <v>1.6970562748477157E-2</v>
      </c>
      <c r="G131" s="1">
        <f t="shared" ref="G131:G193" si="14">F131*100/E131</f>
        <v>10.740862499036174</v>
      </c>
    </row>
    <row r="132" spans="1:7" x14ac:dyDescent="0.25">
      <c r="A132" s="1">
        <v>3</v>
      </c>
      <c r="B132" s="4" t="s">
        <v>96</v>
      </c>
      <c r="C132" s="6">
        <v>0.34599999999999997</v>
      </c>
      <c r="D132" s="6">
        <v>0.32400000000000001</v>
      </c>
      <c r="E132" s="1">
        <f t="shared" si="12"/>
        <v>0.33499999999999996</v>
      </c>
      <c r="F132" s="1">
        <f t="shared" si="13"/>
        <v>1.555634918610402E-2</v>
      </c>
      <c r="G132" s="1">
        <f t="shared" si="14"/>
        <v>4.6436863242101554</v>
      </c>
    </row>
    <row r="133" spans="1:7" x14ac:dyDescent="0.25">
      <c r="A133" s="1">
        <v>3</v>
      </c>
      <c r="B133" s="4" t="s">
        <v>97</v>
      </c>
      <c r="C133" s="6">
        <v>0.20599999999999999</v>
      </c>
      <c r="D133" s="6">
        <v>0.248</v>
      </c>
      <c r="E133" s="1">
        <f t="shared" si="12"/>
        <v>0.22699999999999998</v>
      </c>
      <c r="F133" s="1">
        <f t="shared" si="13"/>
        <v>2.9698484809835002E-2</v>
      </c>
      <c r="G133" s="1">
        <f t="shared" si="14"/>
        <v>13.083032955874451</v>
      </c>
    </row>
    <row r="134" spans="1:7" x14ac:dyDescent="0.25">
      <c r="A134" s="1">
        <v>3</v>
      </c>
      <c r="B134" s="4" t="s">
        <v>98</v>
      </c>
      <c r="C134" s="6">
        <v>0.223</v>
      </c>
      <c r="D134" s="6">
        <v>0.19700000000000001</v>
      </c>
      <c r="E134" s="1">
        <f t="shared" si="12"/>
        <v>0.21000000000000002</v>
      </c>
      <c r="F134" s="1">
        <f t="shared" si="13"/>
        <v>1.8384776310850233E-2</v>
      </c>
      <c r="G134" s="1">
        <f t="shared" si="14"/>
        <v>8.7546553861191576</v>
      </c>
    </row>
    <row r="135" spans="1:7" x14ac:dyDescent="0.25">
      <c r="A135" s="1">
        <v>3</v>
      </c>
      <c r="B135" s="4" t="s">
        <v>99</v>
      </c>
      <c r="C135" s="6">
        <v>0.20300000000000001</v>
      </c>
      <c r="D135" s="6">
        <v>0.187</v>
      </c>
      <c r="E135" s="1">
        <f t="shared" si="12"/>
        <v>0.19500000000000001</v>
      </c>
      <c r="F135" s="1">
        <f t="shared" si="13"/>
        <v>1.1313708498984771E-2</v>
      </c>
      <c r="G135" s="1">
        <f t="shared" si="14"/>
        <v>5.8019017943511644</v>
      </c>
    </row>
    <row r="136" spans="1:7" x14ac:dyDescent="0.25">
      <c r="A136" s="1">
        <v>3</v>
      </c>
      <c r="B136" s="1" t="s">
        <v>305</v>
      </c>
      <c r="C136" s="6">
        <v>0.106</v>
      </c>
      <c r="D136" s="6">
        <v>8.1000000000000003E-2</v>
      </c>
      <c r="E136" s="1">
        <f t="shared" si="12"/>
        <v>9.35E-2</v>
      </c>
      <c r="F136" s="1">
        <f t="shared" si="13"/>
        <v>1.7677669529663695E-2</v>
      </c>
      <c r="G136" s="1">
        <f t="shared" si="14"/>
        <v>18.906598427447804</v>
      </c>
    </row>
    <row r="137" spans="1:7" x14ac:dyDescent="0.25">
      <c r="A137" s="1">
        <v>3</v>
      </c>
      <c r="B137" s="1" t="s">
        <v>305</v>
      </c>
      <c r="C137" s="6">
        <v>7.1999999999999995E-2</v>
      </c>
      <c r="D137" s="6">
        <v>7.2999999999999995E-2</v>
      </c>
      <c r="E137" s="1">
        <f t="shared" si="12"/>
        <v>7.2499999999999995E-2</v>
      </c>
      <c r="F137" s="1">
        <f t="shared" si="13"/>
        <v>7.0710678118654816E-4</v>
      </c>
      <c r="G137" s="1">
        <f t="shared" si="14"/>
        <v>0.97531969818834241</v>
      </c>
    </row>
    <row r="138" spans="1:7" x14ac:dyDescent="0.25">
      <c r="A138" s="1">
        <v>3</v>
      </c>
      <c r="B138" s="1" t="s">
        <v>305</v>
      </c>
      <c r="C138" s="6">
        <v>6.4000000000000001E-2</v>
      </c>
      <c r="D138" s="6">
        <v>0.45400000000000001</v>
      </c>
      <c r="E138" s="1">
        <f t="shared" si="12"/>
        <v>0.25900000000000001</v>
      </c>
      <c r="F138" s="1">
        <f t="shared" si="13"/>
        <v>0.27577164466275356</v>
      </c>
      <c r="G138" s="1">
        <f t="shared" si="14"/>
        <v>106.47553847982762</v>
      </c>
    </row>
    <row r="139" spans="1:7" x14ac:dyDescent="0.25">
      <c r="A139" s="1">
        <v>3</v>
      </c>
      <c r="B139" s="1" t="s">
        <v>305</v>
      </c>
      <c r="C139" s="6">
        <v>4.1000000000000002E-2</v>
      </c>
      <c r="D139" s="6">
        <v>0.04</v>
      </c>
      <c r="E139" s="1">
        <f t="shared" si="12"/>
        <v>4.0500000000000001E-2</v>
      </c>
      <c r="F139" s="1">
        <f t="shared" si="13"/>
        <v>7.0710678118654816E-4</v>
      </c>
      <c r="G139" s="1">
        <f t="shared" si="14"/>
        <v>1.7459426695964153</v>
      </c>
    </row>
    <row r="140" spans="1:7" x14ac:dyDescent="0.25">
      <c r="A140" s="1">
        <v>3</v>
      </c>
      <c r="B140" s="1" t="s">
        <v>305</v>
      </c>
      <c r="C140" s="6">
        <v>4.1000000000000002E-2</v>
      </c>
      <c r="D140" s="6">
        <v>4.1000000000000002E-2</v>
      </c>
      <c r="E140" s="1">
        <f t="shared" si="12"/>
        <v>4.1000000000000002E-2</v>
      </c>
      <c r="F140" s="1">
        <f t="shared" si="13"/>
        <v>0</v>
      </c>
      <c r="G140" s="1">
        <f t="shared" si="14"/>
        <v>0</v>
      </c>
    </row>
    <row r="141" spans="1:7" x14ac:dyDescent="0.25">
      <c r="A141" s="1">
        <v>3</v>
      </c>
      <c r="B141" s="1" t="s">
        <v>305</v>
      </c>
      <c r="C141" s="6">
        <v>4.1000000000000002E-2</v>
      </c>
      <c r="D141" s="6">
        <v>4.1000000000000002E-2</v>
      </c>
      <c r="E141" s="1">
        <f t="shared" si="12"/>
        <v>4.1000000000000002E-2</v>
      </c>
      <c r="F141" s="1">
        <f t="shared" si="13"/>
        <v>0</v>
      </c>
      <c r="G141" s="1">
        <f t="shared" si="14"/>
        <v>0</v>
      </c>
    </row>
    <row r="142" spans="1:7" x14ac:dyDescent="0.25">
      <c r="A142" s="1">
        <v>3</v>
      </c>
      <c r="B142" s="1" t="s">
        <v>305</v>
      </c>
      <c r="C142" s="6">
        <v>4.1000000000000002E-2</v>
      </c>
      <c r="D142" s="6">
        <v>4.1000000000000002E-2</v>
      </c>
      <c r="E142" s="1">
        <f t="shared" si="12"/>
        <v>4.1000000000000002E-2</v>
      </c>
      <c r="F142" s="1">
        <f t="shared" si="13"/>
        <v>0</v>
      </c>
      <c r="G142" s="1">
        <f t="shared" si="14"/>
        <v>0</v>
      </c>
    </row>
    <row r="143" spans="1:7" x14ac:dyDescent="0.25">
      <c r="A143" s="1">
        <v>3</v>
      </c>
      <c r="B143" s="1" t="s">
        <v>305</v>
      </c>
      <c r="C143" s="6">
        <v>4.1000000000000002E-2</v>
      </c>
      <c r="D143" s="6">
        <v>0.04</v>
      </c>
      <c r="E143" s="1">
        <f t="shared" si="12"/>
        <v>4.0500000000000001E-2</v>
      </c>
      <c r="F143" s="1">
        <f t="shared" si="13"/>
        <v>7.0710678118654816E-4</v>
      </c>
      <c r="G143" s="1">
        <f t="shared" si="14"/>
        <v>1.7459426695964153</v>
      </c>
    </row>
    <row r="144" spans="1:7" x14ac:dyDescent="0.25">
      <c r="A144" s="1">
        <v>3</v>
      </c>
      <c r="B144" s="1" t="s">
        <v>305</v>
      </c>
      <c r="C144" s="6">
        <v>0.04</v>
      </c>
      <c r="D144" s="6">
        <v>4.1000000000000002E-2</v>
      </c>
      <c r="E144" s="1">
        <f t="shared" si="12"/>
        <v>4.0500000000000001E-2</v>
      </c>
      <c r="F144" s="1">
        <f t="shared" si="13"/>
        <v>7.0710678118654816E-4</v>
      </c>
      <c r="G144" s="1">
        <f t="shared" si="14"/>
        <v>1.7459426695964153</v>
      </c>
    </row>
    <row r="145" spans="1:7" x14ac:dyDescent="0.25">
      <c r="A145" s="1">
        <v>3</v>
      </c>
      <c r="B145" s="1" t="s">
        <v>305</v>
      </c>
      <c r="C145" s="6">
        <v>4.1000000000000002E-2</v>
      </c>
      <c r="D145" s="6">
        <v>4.1000000000000002E-2</v>
      </c>
      <c r="E145" s="1">
        <f t="shared" si="12"/>
        <v>4.1000000000000002E-2</v>
      </c>
      <c r="F145" s="1">
        <f t="shared" si="13"/>
        <v>0</v>
      </c>
      <c r="G145" s="1">
        <f t="shared" si="14"/>
        <v>0</v>
      </c>
    </row>
    <row r="146" spans="1:7" x14ac:dyDescent="0.25">
      <c r="A146" s="1">
        <v>4</v>
      </c>
      <c r="B146" s="1" t="s">
        <v>304</v>
      </c>
      <c r="C146" s="6">
        <v>2.5369999999999999</v>
      </c>
      <c r="D146" s="6">
        <v>2.3220000000000001</v>
      </c>
      <c r="E146" s="1">
        <f t="shared" si="12"/>
        <v>2.4295</v>
      </c>
      <c r="F146" s="1">
        <f t="shared" si="13"/>
        <v>0.15202795795510762</v>
      </c>
      <c r="G146" s="1">
        <f t="shared" si="14"/>
        <v>6.2575821343942222</v>
      </c>
    </row>
    <row r="147" spans="1:7" x14ac:dyDescent="0.25">
      <c r="A147" s="1">
        <v>4</v>
      </c>
      <c r="B147" s="1" t="s">
        <v>304</v>
      </c>
      <c r="C147" s="6">
        <v>1.77</v>
      </c>
      <c r="D147" s="6">
        <v>1.671</v>
      </c>
      <c r="E147" s="1">
        <f t="shared" si="12"/>
        <v>1.7204999999999999</v>
      </c>
      <c r="F147" s="1">
        <f t="shared" si="13"/>
        <v>7.0003571337468193E-2</v>
      </c>
      <c r="G147" s="1">
        <f t="shared" si="14"/>
        <v>4.0687922893035857</v>
      </c>
    </row>
    <row r="148" spans="1:7" x14ac:dyDescent="0.25">
      <c r="A148" s="1">
        <v>4</v>
      </c>
      <c r="B148" s="1" t="s">
        <v>304</v>
      </c>
      <c r="C148" s="6">
        <v>1.167</v>
      </c>
      <c r="D148" s="6">
        <v>1.044</v>
      </c>
      <c r="E148" s="1">
        <f t="shared" si="12"/>
        <v>1.1055000000000001</v>
      </c>
      <c r="F148" s="1">
        <f t="shared" si="13"/>
        <v>8.6974134085945343E-2</v>
      </c>
      <c r="G148" s="1">
        <f t="shared" si="14"/>
        <v>7.867402450108127</v>
      </c>
    </row>
    <row r="149" spans="1:7" x14ac:dyDescent="0.25">
      <c r="A149" s="1">
        <v>4</v>
      </c>
      <c r="B149" s="1" t="s">
        <v>304</v>
      </c>
      <c r="C149" s="6">
        <v>0.64200000000000002</v>
      </c>
      <c r="D149" s="6">
        <v>0.626</v>
      </c>
      <c r="E149" s="1">
        <f t="shared" si="12"/>
        <v>0.63400000000000001</v>
      </c>
      <c r="F149" s="1">
        <f t="shared" si="13"/>
        <v>1.1313708498984771E-2</v>
      </c>
      <c r="G149" s="1">
        <f t="shared" si="14"/>
        <v>1.7844966086726768</v>
      </c>
    </row>
    <row r="150" spans="1:7" x14ac:dyDescent="0.25">
      <c r="A150" s="1">
        <v>4</v>
      </c>
      <c r="B150" s="1" t="s">
        <v>304</v>
      </c>
      <c r="C150" s="6">
        <v>0.40699999999999997</v>
      </c>
      <c r="D150" s="6">
        <v>0.42699999999999999</v>
      </c>
      <c r="E150" s="1">
        <f t="shared" si="12"/>
        <v>0.41699999999999998</v>
      </c>
      <c r="F150" s="1">
        <f t="shared" si="13"/>
        <v>1.4142135623730963E-2</v>
      </c>
      <c r="G150" s="1">
        <f t="shared" si="14"/>
        <v>3.39139943015131</v>
      </c>
    </row>
    <row r="151" spans="1:7" x14ac:dyDescent="0.25">
      <c r="A151" s="1">
        <v>4</v>
      </c>
      <c r="B151" s="1" t="s">
        <v>304</v>
      </c>
      <c r="C151" s="6">
        <v>0.254</v>
      </c>
      <c r="D151" s="6">
        <v>0.27200000000000002</v>
      </c>
      <c r="E151" s="1">
        <f t="shared" si="12"/>
        <v>0.26300000000000001</v>
      </c>
      <c r="F151" s="1">
        <f t="shared" si="13"/>
        <v>1.2727922061357866E-2</v>
      </c>
      <c r="G151" s="1">
        <f t="shared" si="14"/>
        <v>4.8395140917710515</v>
      </c>
    </row>
    <row r="152" spans="1:7" x14ac:dyDescent="0.25">
      <c r="A152" s="1">
        <v>4</v>
      </c>
      <c r="B152" s="1" t="s">
        <v>304</v>
      </c>
      <c r="C152" s="6">
        <v>0.23300000000000001</v>
      </c>
      <c r="D152" s="6">
        <v>0.20200000000000001</v>
      </c>
      <c r="E152" s="1">
        <f t="shared" si="12"/>
        <v>0.21750000000000003</v>
      </c>
      <c r="F152" s="1">
        <f t="shared" si="13"/>
        <v>2.1920310216782975E-2</v>
      </c>
      <c r="G152" s="1">
        <f t="shared" si="14"/>
        <v>10.078303547946193</v>
      </c>
    </row>
    <row r="153" spans="1:7" x14ac:dyDescent="0.25">
      <c r="A153" s="1">
        <v>4</v>
      </c>
      <c r="B153" s="1" t="s">
        <v>304</v>
      </c>
      <c r="C153" s="6">
        <v>0.14399999999999999</v>
      </c>
      <c r="D153" s="6">
        <v>0.127</v>
      </c>
      <c r="E153" s="1">
        <f t="shared" si="12"/>
        <v>0.13550000000000001</v>
      </c>
      <c r="F153" s="1">
        <f t="shared" si="13"/>
        <v>1.2020815280171298E-2</v>
      </c>
      <c r="G153" s="1">
        <f t="shared" si="14"/>
        <v>8.8714503912703293</v>
      </c>
    </row>
    <row r="154" spans="1:7" x14ac:dyDescent="0.25">
      <c r="A154" s="1">
        <v>4</v>
      </c>
      <c r="B154" s="4" t="s">
        <v>120</v>
      </c>
      <c r="C154" s="6">
        <v>0.13200000000000001</v>
      </c>
      <c r="D154" s="6">
        <v>0.13900000000000001</v>
      </c>
      <c r="E154" s="1">
        <f t="shared" si="12"/>
        <v>0.13550000000000001</v>
      </c>
      <c r="F154" s="1">
        <f t="shared" si="13"/>
        <v>4.9497474683058368E-3</v>
      </c>
      <c r="G154" s="1">
        <f t="shared" si="14"/>
        <v>3.6529501611113182</v>
      </c>
    </row>
    <row r="155" spans="1:7" x14ac:dyDescent="0.25">
      <c r="A155" s="1">
        <v>4</v>
      </c>
      <c r="B155" s="4" t="s">
        <v>121</v>
      </c>
      <c r="C155" s="6">
        <v>0.14499999999999999</v>
      </c>
      <c r="D155" s="6">
        <v>0.14899999999999999</v>
      </c>
      <c r="E155" s="1">
        <f t="shared" si="12"/>
        <v>0.14699999999999999</v>
      </c>
      <c r="F155" s="1">
        <f t="shared" si="13"/>
        <v>2.8284271247461927E-3</v>
      </c>
      <c r="G155" s="1">
        <f t="shared" si="14"/>
        <v>1.9241000848613559</v>
      </c>
    </row>
    <row r="156" spans="1:7" x14ac:dyDescent="0.25">
      <c r="A156" s="1">
        <v>4</v>
      </c>
      <c r="B156" s="4" t="s">
        <v>122</v>
      </c>
      <c r="C156" s="6">
        <v>0.11700000000000001</v>
      </c>
      <c r="D156" s="6">
        <v>0.125</v>
      </c>
      <c r="E156" s="1">
        <f t="shared" si="12"/>
        <v>0.121</v>
      </c>
      <c r="F156" s="1">
        <f t="shared" si="13"/>
        <v>5.6568542494923758E-3</v>
      </c>
      <c r="G156" s="1">
        <f t="shared" si="14"/>
        <v>4.6750861566052695</v>
      </c>
    </row>
    <row r="157" spans="1:7" x14ac:dyDescent="0.25">
      <c r="A157" s="1">
        <v>4</v>
      </c>
      <c r="B157" s="4" t="s">
        <v>123</v>
      </c>
      <c r="C157" s="6">
        <v>0.13</v>
      </c>
      <c r="D157" s="6">
        <v>0.11799999999999999</v>
      </c>
      <c r="E157" s="1">
        <f t="shared" si="12"/>
        <v>0.124</v>
      </c>
      <c r="F157" s="1">
        <f t="shared" si="13"/>
        <v>8.4852813742385784E-3</v>
      </c>
      <c r="G157" s="1">
        <f t="shared" si="14"/>
        <v>6.8429688501924018</v>
      </c>
    </row>
    <row r="158" spans="1:7" x14ac:dyDescent="0.25">
      <c r="A158" s="1">
        <v>4</v>
      </c>
      <c r="B158" s="4" t="s">
        <v>124</v>
      </c>
      <c r="C158" s="6">
        <v>0.122</v>
      </c>
      <c r="D158" s="6">
        <v>0.12</v>
      </c>
      <c r="E158" s="1">
        <f t="shared" si="12"/>
        <v>0.121</v>
      </c>
      <c r="F158" s="1">
        <f t="shared" si="13"/>
        <v>1.4142135623730963E-3</v>
      </c>
      <c r="G158" s="1">
        <f t="shared" si="14"/>
        <v>1.1687715391513194</v>
      </c>
    </row>
    <row r="159" spans="1:7" x14ac:dyDescent="0.25">
      <c r="A159" s="1">
        <v>4</v>
      </c>
      <c r="B159" s="4" t="s">
        <v>125</v>
      </c>
      <c r="C159" s="6">
        <v>0.182</v>
      </c>
      <c r="D159" s="6">
        <v>0.13400000000000001</v>
      </c>
      <c r="E159" s="1">
        <f t="shared" si="12"/>
        <v>0.158</v>
      </c>
      <c r="F159" s="1">
        <f t="shared" si="13"/>
        <v>3.3941125496954286E-2</v>
      </c>
      <c r="G159" s="1">
        <f t="shared" si="14"/>
        <v>21.481724998072334</v>
      </c>
    </row>
    <row r="160" spans="1:7" x14ac:dyDescent="0.25">
      <c r="A160" s="1">
        <v>4</v>
      </c>
      <c r="B160" s="4" t="s">
        <v>126</v>
      </c>
      <c r="C160" s="6">
        <v>0.115</v>
      </c>
      <c r="D160" s="6">
        <v>0.106</v>
      </c>
      <c r="E160" s="1">
        <f t="shared" si="12"/>
        <v>0.1105</v>
      </c>
      <c r="F160" s="1">
        <f t="shared" si="13"/>
        <v>6.3639610306789329E-3</v>
      </c>
      <c r="G160" s="1">
        <f t="shared" si="14"/>
        <v>5.759240751745641</v>
      </c>
    </row>
    <row r="161" spans="1:7" x14ac:dyDescent="0.25">
      <c r="A161" s="1">
        <v>4</v>
      </c>
      <c r="B161" s="4" t="s">
        <v>127</v>
      </c>
      <c r="C161" s="6">
        <v>0.11799999999999999</v>
      </c>
      <c r="D161" s="6">
        <v>0.115</v>
      </c>
      <c r="E161" s="1">
        <f t="shared" si="12"/>
        <v>0.11649999999999999</v>
      </c>
      <c r="F161" s="1">
        <f t="shared" si="13"/>
        <v>2.1213203435596346E-3</v>
      </c>
      <c r="G161" s="1">
        <f t="shared" si="14"/>
        <v>1.8208758313816606</v>
      </c>
    </row>
    <row r="162" spans="1:7" x14ac:dyDescent="0.25">
      <c r="A162" s="1">
        <v>4</v>
      </c>
      <c r="B162" s="4" t="s">
        <v>128</v>
      </c>
      <c r="C162" s="6">
        <v>0.13800000000000001</v>
      </c>
      <c r="D162" s="6">
        <v>0.129</v>
      </c>
      <c r="E162" s="1">
        <f t="shared" si="12"/>
        <v>0.13350000000000001</v>
      </c>
      <c r="F162" s="1">
        <f t="shared" si="13"/>
        <v>6.3639610306789329E-3</v>
      </c>
      <c r="G162" s="1">
        <f t="shared" si="14"/>
        <v>4.7670120079992007</v>
      </c>
    </row>
    <row r="163" spans="1:7" x14ac:dyDescent="0.25">
      <c r="A163" s="1">
        <v>4</v>
      </c>
      <c r="B163" s="4" t="s">
        <v>129</v>
      </c>
      <c r="C163" s="6">
        <v>0.13</v>
      </c>
      <c r="D163" s="6">
        <v>0.14000000000000001</v>
      </c>
      <c r="E163" s="1">
        <f t="shared" si="12"/>
        <v>0.13500000000000001</v>
      </c>
      <c r="F163" s="1">
        <f t="shared" si="13"/>
        <v>7.0710678118654814E-3</v>
      </c>
      <c r="G163" s="1">
        <f t="shared" si="14"/>
        <v>5.2378280087892453</v>
      </c>
    </row>
    <row r="164" spans="1:7" x14ac:dyDescent="0.25">
      <c r="A164" s="1">
        <v>4</v>
      </c>
      <c r="B164" s="4" t="s">
        <v>130</v>
      </c>
      <c r="C164" s="6">
        <v>0.14000000000000001</v>
      </c>
      <c r="D164" s="6">
        <v>0.13100000000000001</v>
      </c>
      <c r="E164" s="1">
        <f t="shared" si="12"/>
        <v>0.13550000000000001</v>
      </c>
      <c r="F164" s="1">
        <f t="shared" si="13"/>
        <v>6.3639610306789329E-3</v>
      </c>
      <c r="G164" s="1">
        <f t="shared" si="14"/>
        <v>4.696650207143124</v>
      </c>
    </row>
    <row r="165" spans="1:7" x14ac:dyDescent="0.25">
      <c r="A165" s="1">
        <v>4</v>
      </c>
      <c r="B165" s="4" t="s">
        <v>131</v>
      </c>
      <c r="C165" s="6">
        <v>0.112</v>
      </c>
      <c r="D165" s="6">
        <v>0.13800000000000001</v>
      </c>
      <c r="E165" s="1">
        <f t="shared" si="12"/>
        <v>0.125</v>
      </c>
      <c r="F165" s="1">
        <f t="shared" si="13"/>
        <v>1.8384776310850372E-2</v>
      </c>
      <c r="G165" s="1">
        <f t="shared" si="14"/>
        <v>14.707821048680298</v>
      </c>
    </row>
    <row r="166" spans="1:7" x14ac:dyDescent="0.25">
      <c r="A166" s="1">
        <v>4</v>
      </c>
      <c r="B166" s="4" t="s">
        <v>132</v>
      </c>
      <c r="C166" s="6">
        <v>0.16600000000000001</v>
      </c>
      <c r="D166" s="6">
        <v>0.13400000000000001</v>
      </c>
      <c r="E166" s="1">
        <f t="shared" si="12"/>
        <v>0.15000000000000002</v>
      </c>
      <c r="F166" s="1">
        <f t="shared" si="13"/>
        <v>2.2627416997969489E-2</v>
      </c>
      <c r="G166" s="1">
        <f t="shared" si="14"/>
        <v>15.084944665312991</v>
      </c>
    </row>
    <row r="167" spans="1:7" x14ac:dyDescent="0.25">
      <c r="A167" s="1">
        <v>4</v>
      </c>
      <c r="B167" s="4" t="s">
        <v>133</v>
      </c>
      <c r="C167" s="6">
        <v>0.17399999999999999</v>
      </c>
      <c r="D167" s="6">
        <v>0.186</v>
      </c>
      <c r="E167" s="1">
        <f t="shared" si="12"/>
        <v>0.18</v>
      </c>
      <c r="F167" s="1">
        <f t="shared" si="13"/>
        <v>8.4852813742385784E-3</v>
      </c>
      <c r="G167" s="1">
        <f t="shared" si="14"/>
        <v>4.7140452079103214</v>
      </c>
    </row>
    <row r="168" spans="1:7" x14ac:dyDescent="0.25">
      <c r="A168" s="1">
        <v>4</v>
      </c>
      <c r="B168" s="4" t="s">
        <v>134</v>
      </c>
      <c r="C168" s="6">
        <v>0.17100000000000001</v>
      </c>
      <c r="D168" s="6">
        <v>0.18</v>
      </c>
      <c r="E168" s="1">
        <f t="shared" si="12"/>
        <v>0.17549999999999999</v>
      </c>
      <c r="F168" s="1">
        <f t="shared" si="13"/>
        <v>6.3639610306789138E-3</v>
      </c>
      <c r="G168" s="1">
        <f t="shared" si="14"/>
        <v>3.626188621469467</v>
      </c>
    </row>
    <row r="169" spans="1:7" x14ac:dyDescent="0.25">
      <c r="A169" s="1">
        <v>4</v>
      </c>
      <c r="B169" s="4" t="s">
        <v>135</v>
      </c>
      <c r="C169" s="6">
        <v>0.11700000000000001</v>
      </c>
      <c r="D169" s="6">
        <v>0.14699999999999999</v>
      </c>
      <c r="E169" s="1">
        <f t="shared" si="12"/>
        <v>0.13200000000000001</v>
      </c>
      <c r="F169" s="1">
        <f t="shared" si="13"/>
        <v>2.121320343559624E-2</v>
      </c>
      <c r="G169" s="1">
        <f t="shared" si="14"/>
        <v>16.070608663330486</v>
      </c>
    </row>
    <row r="170" spans="1:7" x14ac:dyDescent="0.25">
      <c r="A170" s="1">
        <v>4</v>
      </c>
      <c r="B170" s="4" t="s">
        <v>136</v>
      </c>
      <c r="C170" s="6">
        <v>0.18</v>
      </c>
      <c r="D170" s="6">
        <v>0.20399999999999999</v>
      </c>
      <c r="E170" s="1">
        <f t="shared" si="12"/>
        <v>0.192</v>
      </c>
      <c r="F170" s="1">
        <f t="shared" si="13"/>
        <v>1.6970562748477136E-2</v>
      </c>
      <c r="G170" s="1">
        <f t="shared" si="14"/>
        <v>8.8388347648318408</v>
      </c>
    </row>
    <row r="171" spans="1:7" x14ac:dyDescent="0.25">
      <c r="A171" s="1">
        <v>4</v>
      </c>
      <c r="B171" s="4" t="s">
        <v>137</v>
      </c>
      <c r="C171" s="6">
        <v>0.23400000000000001</v>
      </c>
      <c r="D171" s="6">
        <v>0.215</v>
      </c>
      <c r="E171" s="1">
        <f t="shared" si="12"/>
        <v>0.22450000000000001</v>
      </c>
      <c r="F171" s="1">
        <f t="shared" si="13"/>
        <v>1.3435028842544414E-2</v>
      </c>
      <c r="G171" s="1">
        <f t="shared" si="14"/>
        <v>5.9844226470131021</v>
      </c>
    </row>
    <row r="172" spans="1:7" x14ac:dyDescent="0.25">
      <c r="A172" s="1">
        <v>4</v>
      </c>
      <c r="B172" s="4" t="s">
        <v>138</v>
      </c>
      <c r="C172" s="6">
        <v>0.27500000000000002</v>
      </c>
      <c r="D172" s="6">
        <v>0.251</v>
      </c>
      <c r="E172" s="1">
        <f t="shared" si="12"/>
        <v>0.26300000000000001</v>
      </c>
      <c r="F172" s="1">
        <f t="shared" si="13"/>
        <v>1.6970562748477157E-2</v>
      </c>
      <c r="G172" s="1">
        <f t="shared" si="14"/>
        <v>6.4526854556947359</v>
      </c>
    </row>
    <row r="173" spans="1:7" x14ac:dyDescent="0.25">
      <c r="A173" s="1">
        <v>4</v>
      </c>
      <c r="B173" s="4" t="s">
        <v>139</v>
      </c>
      <c r="C173" s="6">
        <v>0.219</v>
      </c>
      <c r="D173" s="6">
        <v>0.22700000000000001</v>
      </c>
      <c r="E173" s="1">
        <f t="shared" si="12"/>
        <v>0.223</v>
      </c>
      <c r="F173" s="1">
        <f t="shared" si="13"/>
        <v>5.6568542494923853E-3</v>
      </c>
      <c r="G173" s="1">
        <f t="shared" si="14"/>
        <v>2.5367059414764062</v>
      </c>
    </row>
    <row r="174" spans="1:7" x14ac:dyDescent="0.25">
      <c r="A174" s="1">
        <v>4</v>
      </c>
      <c r="B174" s="6" t="s">
        <v>305</v>
      </c>
      <c r="C174" s="6">
        <v>0.13</v>
      </c>
      <c r="D174" s="6">
        <v>0.114</v>
      </c>
      <c r="E174" s="1">
        <f t="shared" si="12"/>
        <v>0.122</v>
      </c>
      <c r="F174" s="1">
        <f t="shared" si="13"/>
        <v>1.1313708498984762E-2</v>
      </c>
      <c r="G174" s="1">
        <f t="shared" si="14"/>
        <v>9.2735315565448868</v>
      </c>
    </row>
    <row r="175" spans="1:7" x14ac:dyDescent="0.25">
      <c r="A175" s="1">
        <v>4</v>
      </c>
      <c r="B175" s="6" t="s">
        <v>305</v>
      </c>
      <c r="C175" s="6">
        <v>0.109</v>
      </c>
      <c r="D175" s="6">
        <v>0.109</v>
      </c>
      <c r="E175" s="1">
        <f t="shared" si="12"/>
        <v>0.109</v>
      </c>
      <c r="F175" s="1">
        <f t="shared" si="13"/>
        <v>0</v>
      </c>
      <c r="G175" s="1">
        <f t="shared" si="14"/>
        <v>0</v>
      </c>
    </row>
    <row r="176" spans="1:7" x14ac:dyDescent="0.25">
      <c r="A176" s="1">
        <v>4</v>
      </c>
      <c r="B176" s="6" t="s">
        <v>305</v>
      </c>
      <c r="C176" s="6">
        <v>0.123</v>
      </c>
      <c r="D176" s="6">
        <v>0.113</v>
      </c>
      <c r="E176" s="1">
        <f t="shared" si="12"/>
        <v>0.11799999999999999</v>
      </c>
      <c r="F176" s="1">
        <f t="shared" si="13"/>
        <v>7.0710678118654719E-3</v>
      </c>
      <c r="G176" s="1">
        <f t="shared" si="14"/>
        <v>5.9924303490385364</v>
      </c>
    </row>
    <row r="177" spans="1:7" x14ac:dyDescent="0.25">
      <c r="A177" s="1">
        <v>4</v>
      </c>
      <c r="B177" s="6" t="s">
        <v>305</v>
      </c>
      <c r="C177" s="6">
        <v>0.111</v>
      </c>
      <c r="D177" s="6">
        <v>0.11</v>
      </c>
      <c r="E177" s="1">
        <f t="shared" si="12"/>
        <v>0.1105</v>
      </c>
      <c r="F177" s="1">
        <f t="shared" si="13"/>
        <v>7.0710678118654816E-4</v>
      </c>
      <c r="G177" s="1">
        <f t="shared" si="14"/>
        <v>0.6399156390828491</v>
      </c>
    </row>
    <row r="178" spans="1:7" x14ac:dyDescent="0.25">
      <c r="A178" s="1">
        <v>4</v>
      </c>
      <c r="B178" s="6" t="s">
        <v>305</v>
      </c>
      <c r="C178" s="6">
        <v>5.7000000000000002E-2</v>
      </c>
      <c r="D178" s="6">
        <v>7.9000000000000001E-2</v>
      </c>
      <c r="E178" s="1">
        <f t="shared" si="12"/>
        <v>6.8000000000000005E-2</v>
      </c>
      <c r="F178" s="1">
        <f t="shared" si="13"/>
        <v>1.5556349186104018E-2</v>
      </c>
      <c r="G178" s="1">
        <f t="shared" si="14"/>
        <v>22.876984097211793</v>
      </c>
    </row>
    <row r="179" spans="1:7" x14ac:dyDescent="0.25">
      <c r="A179" s="1">
        <v>4</v>
      </c>
      <c r="B179" s="6" t="s">
        <v>305</v>
      </c>
      <c r="C179" s="6">
        <v>5.7000000000000002E-2</v>
      </c>
      <c r="D179" s="6">
        <v>5.1999999999999998E-2</v>
      </c>
      <c r="E179" s="1">
        <f t="shared" si="12"/>
        <v>5.45E-2</v>
      </c>
      <c r="F179" s="1">
        <f t="shared" si="13"/>
        <v>3.5355339059327407E-3</v>
      </c>
      <c r="G179" s="1">
        <f t="shared" si="14"/>
        <v>6.4872181760233776</v>
      </c>
    </row>
    <row r="180" spans="1:7" x14ac:dyDescent="0.25">
      <c r="A180" s="1">
        <v>4</v>
      </c>
      <c r="B180" s="6" t="s">
        <v>305</v>
      </c>
      <c r="C180" s="6">
        <v>5.8000000000000003E-2</v>
      </c>
      <c r="D180" s="6">
        <v>7.4999999999999997E-2</v>
      </c>
      <c r="E180" s="1">
        <f t="shared" si="12"/>
        <v>6.6500000000000004E-2</v>
      </c>
      <c r="F180" s="1">
        <f t="shared" si="13"/>
        <v>1.2020815280171258E-2</v>
      </c>
      <c r="G180" s="1">
        <f t="shared" si="14"/>
        <v>18.076413955144748</v>
      </c>
    </row>
    <row r="181" spans="1:7" x14ac:dyDescent="0.25">
      <c r="A181" s="1">
        <v>4</v>
      </c>
      <c r="B181" s="6" t="s">
        <v>305</v>
      </c>
      <c r="C181" s="6">
        <v>4.2000000000000003E-2</v>
      </c>
      <c r="D181" s="6">
        <v>6.7000000000000004E-2</v>
      </c>
      <c r="E181" s="1">
        <f t="shared" si="12"/>
        <v>5.4500000000000007E-2</v>
      </c>
      <c r="F181" s="1">
        <f t="shared" si="13"/>
        <v>1.7677669529663671E-2</v>
      </c>
      <c r="G181" s="1">
        <f t="shared" si="14"/>
        <v>32.436090880116822</v>
      </c>
    </row>
    <row r="182" spans="1:7" x14ac:dyDescent="0.25">
      <c r="A182" s="1">
        <v>4</v>
      </c>
      <c r="B182" s="6" t="s">
        <v>305</v>
      </c>
      <c r="C182" s="6">
        <v>5.7000000000000002E-2</v>
      </c>
      <c r="D182" s="6">
        <v>0.10100000000000001</v>
      </c>
      <c r="E182" s="1">
        <f t="shared" si="12"/>
        <v>7.9000000000000001E-2</v>
      </c>
      <c r="F182" s="1">
        <f t="shared" si="13"/>
        <v>3.111269837220812E-2</v>
      </c>
      <c r="G182" s="1">
        <f t="shared" si="14"/>
        <v>39.383162496465971</v>
      </c>
    </row>
    <row r="183" spans="1:7" x14ac:dyDescent="0.25">
      <c r="A183" s="1">
        <v>4</v>
      </c>
      <c r="B183" s="6" t="s">
        <v>305</v>
      </c>
      <c r="C183" s="6">
        <v>0.05</v>
      </c>
      <c r="D183" s="6">
        <v>9.0999999999999998E-2</v>
      </c>
      <c r="E183" s="1">
        <f t="shared" si="12"/>
        <v>7.0500000000000007E-2</v>
      </c>
      <c r="F183" s="1">
        <f t="shared" si="13"/>
        <v>2.8991378028648436E-2</v>
      </c>
      <c r="G183" s="1">
        <f t="shared" si="14"/>
        <v>41.122522026451676</v>
      </c>
    </row>
    <row r="184" spans="1:7" x14ac:dyDescent="0.25">
      <c r="A184" s="1">
        <v>4</v>
      </c>
      <c r="B184" s="6" t="s">
        <v>305</v>
      </c>
      <c r="C184" s="6">
        <v>5.3999999999999999E-2</v>
      </c>
      <c r="D184" s="6">
        <v>6.5000000000000002E-2</v>
      </c>
      <c r="E184" s="1">
        <f t="shared" si="12"/>
        <v>5.9499999999999997E-2</v>
      </c>
      <c r="F184" s="1">
        <f t="shared" si="13"/>
        <v>7.7781745930520247E-3</v>
      </c>
      <c r="G184" s="1">
        <f t="shared" si="14"/>
        <v>13.072562341263909</v>
      </c>
    </row>
    <row r="185" spans="1:7" x14ac:dyDescent="0.25">
      <c r="A185" s="1">
        <v>4</v>
      </c>
      <c r="B185" s="6" t="s">
        <v>305</v>
      </c>
      <c r="C185" s="6">
        <v>5.5E-2</v>
      </c>
      <c r="D185" s="6">
        <v>5.5E-2</v>
      </c>
      <c r="E185" s="1">
        <f t="shared" si="12"/>
        <v>5.5E-2</v>
      </c>
      <c r="F185" s="1">
        <f t="shared" si="13"/>
        <v>0</v>
      </c>
      <c r="G185" s="1">
        <f t="shared" si="14"/>
        <v>0</v>
      </c>
    </row>
    <row r="186" spans="1:7" x14ac:dyDescent="0.25">
      <c r="A186" s="1">
        <v>4</v>
      </c>
      <c r="B186" s="6" t="s">
        <v>305</v>
      </c>
      <c r="C186" s="6">
        <v>0.09</v>
      </c>
      <c r="D186" s="6">
        <v>7.1999999999999995E-2</v>
      </c>
      <c r="E186" s="1">
        <f t="shared" si="12"/>
        <v>8.0999999999999989E-2</v>
      </c>
      <c r="F186" s="1">
        <f t="shared" si="13"/>
        <v>1.2727922061357951E-2</v>
      </c>
      <c r="G186" s="1">
        <f t="shared" si="14"/>
        <v>15.713484026367842</v>
      </c>
    </row>
    <row r="187" spans="1:7" x14ac:dyDescent="0.25">
      <c r="A187" s="1">
        <v>4</v>
      </c>
      <c r="B187" s="6" t="s">
        <v>305</v>
      </c>
      <c r="C187" s="6">
        <v>8.2000000000000003E-2</v>
      </c>
      <c r="D187" s="6">
        <v>7.1999999999999995E-2</v>
      </c>
      <c r="E187" s="1">
        <f t="shared" si="12"/>
        <v>7.6999999999999999E-2</v>
      </c>
      <c r="F187" s="1">
        <f t="shared" si="13"/>
        <v>7.0710678118654814E-3</v>
      </c>
      <c r="G187" s="1">
        <f t="shared" si="14"/>
        <v>9.1832049504746518</v>
      </c>
    </row>
    <row r="188" spans="1:7" x14ac:dyDescent="0.25">
      <c r="A188" s="1">
        <v>4</v>
      </c>
      <c r="B188" s="6" t="s">
        <v>305</v>
      </c>
      <c r="C188" s="6">
        <v>0.13500000000000001</v>
      </c>
      <c r="D188" s="6">
        <v>0.107</v>
      </c>
      <c r="E188" s="1">
        <f t="shared" si="12"/>
        <v>0.121</v>
      </c>
      <c r="F188" s="1">
        <f t="shared" si="13"/>
        <v>1.979898987322333E-2</v>
      </c>
      <c r="G188" s="1">
        <f t="shared" si="14"/>
        <v>16.362801548118455</v>
      </c>
    </row>
    <row r="189" spans="1:7" x14ac:dyDescent="0.25">
      <c r="A189" s="1">
        <v>4</v>
      </c>
      <c r="B189" s="6" t="s">
        <v>305</v>
      </c>
      <c r="C189" s="6">
        <v>0.09</v>
      </c>
      <c r="D189" s="6">
        <v>6.3E-2</v>
      </c>
      <c r="E189" s="1">
        <f t="shared" si="12"/>
        <v>7.6499999999999999E-2</v>
      </c>
      <c r="F189" s="1">
        <f t="shared" si="13"/>
        <v>1.9091883092036788E-2</v>
      </c>
      <c r="G189" s="1">
        <f t="shared" si="14"/>
        <v>24.956709924231095</v>
      </c>
    </row>
    <row r="190" spans="1:7" x14ac:dyDescent="0.25">
      <c r="A190" s="1">
        <v>4</v>
      </c>
      <c r="B190" s="6" t="s">
        <v>305</v>
      </c>
      <c r="C190" s="6">
        <v>0.13900000000000001</v>
      </c>
      <c r="D190" s="6">
        <v>9.0999999999999998E-2</v>
      </c>
      <c r="E190" s="1">
        <f t="shared" si="12"/>
        <v>0.115</v>
      </c>
      <c r="F190" s="1">
        <f t="shared" si="13"/>
        <v>3.3941125496954334E-2</v>
      </c>
      <c r="G190" s="1">
        <f t="shared" si="14"/>
        <v>29.514022171264639</v>
      </c>
    </row>
    <row r="191" spans="1:7" x14ac:dyDescent="0.25">
      <c r="A191" s="1">
        <v>4</v>
      </c>
      <c r="B191" s="6" t="s">
        <v>305</v>
      </c>
      <c r="C191" s="6">
        <v>0.13500000000000001</v>
      </c>
      <c r="D191" s="6">
        <v>0.13600000000000001</v>
      </c>
      <c r="E191" s="1">
        <f t="shared" si="12"/>
        <v>0.13550000000000001</v>
      </c>
      <c r="F191" s="1">
        <f t="shared" si="13"/>
        <v>7.0710678118654816E-4</v>
      </c>
      <c r="G191" s="1">
        <f t="shared" si="14"/>
        <v>0.52185002301590266</v>
      </c>
    </row>
    <row r="192" spans="1:7" x14ac:dyDescent="0.25">
      <c r="A192" s="1">
        <v>4</v>
      </c>
      <c r="B192" s="6" t="s">
        <v>305</v>
      </c>
      <c r="C192" s="6">
        <v>0.113</v>
      </c>
      <c r="D192" s="6">
        <v>7.0999999999999994E-2</v>
      </c>
      <c r="E192" s="1">
        <f t="shared" si="12"/>
        <v>9.1999999999999998E-2</v>
      </c>
      <c r="F192" s="1">
        <f t="shared" si="13"/>
        <v>2.9698484809835009E-2</v>
      </c>
      <c r="G192" s="1">
        <f t="shared" si="14"/>
        <v>32.280961749820662</v>
      </c>
    </row>
    <row r="193" spans="1:7" x14ac:dyDescent="0.25">
      <c r="A193" s="1">
        <v>4</v>
      </c>
      <c r="B193" s="6" t="s">
        <v>305</v>
      </c>
      <c r="C193" s="17">
        <v>7.0000000000000007E-2</v>
      </c>
      <c r="D193" s="17">
        <v>6.0999999999999999E-2</v>
      </c>
      <c r="E193" s="1">
        <f t="shared" si="12"/>
        <v>6.5500000000000003E-2</v>
      </c>
      <c r="F193" s="1">
        <f t="shared" si="13"/>
        <v>6.3639610306789329E-3</v>
      </c>
      <c r="G193" s="1">
        <f t="shared" si="14"/>
        <v>9.7159710392044776</v>
      </c>
    </row>
    <row r="194" spans="1:7" x14ac:dyDescent="0.25">
      <c r="B194" s="18"/>
      <c r="C194" s="18"/>
      <c r="D194" s="18"/>
    </row>
    <row r="195" spans="1:7" x14ac:dyDescent="0.25">
      <c r="B195" s="18"/>
      <c r="C195" s="18"/>
      <c r="D195" s="18"/>
    </row>
    <row r="196" spans="1:7" x14ac:dyDescent="0.25">
      <c r="B196" s="18"/>
      <c r="C196" s="18"/>
      <c r="D196" s="18"/>
    </row>
    <row r="197" spans="1:7" x14ac:dyDescent="0.25">
      <c r="B197" s="18"/>
      <c r="C197" s="18"/>
      <c r="D197" s="18"/>
    </row>
    <row r="198" spans="1:7" x14ac:dyDescent="0.25">
      <c r="B198" s="18"/>
      <c r="C198" s="18"/>
      <c r="D198" s="18"/>
      <c r="F198" s="1" t="s">
        <v>306</v>
      </c>
      <c r="G198" s="1">
        <f>AVERAGE(G2:G193)</f>
        <v>8.2449821319349823</v>
      </c>
    </row>
    <row r="199" spans="1:7" x14ac:dyDescent="0.25">
      <c r="B199" s="18"/>
      <c r="C199" s="18"/>
      <c r="D199" s="18"/>
    </row>
    <row r="200" spans="1:7" x14ac:dyDescent="0.25">
      <c r="B200" s="18"/>
      <c r="C200" s="18"/>
      <c r="D200" s="18"/>
    </row>
    <row r="201" spans="1:7" x14ac:dyDescent="0.25">
      <c r="B201" s="18"/>
      <c r="C201" s="18"/>
      <c r="D201" s="18"/>
    </row>
    <row r="202" spans="1:7" x14ac:dyDescent="0.25">
      <c r="B202" s="18"/>
      <c r="C202" s="18"/>
      <c r="D202" s="18"/>
    </row>
    <row r="203" spans="1:7" x14ac:dyDescent="0.25">
      <c r="B203" s="18"/>
      <c r="C203" s="18"/>
      <c r="D203" s="18"/>
    </row>
    <row r="204" spans="1:7" x14ac:dyDescent="0.25">
      <c r="B204" s="18"/>
      <c r="C204" s="18"/>
      <c r="D204" s="18"/>
    </row>
    <row r="205" spans="1:7" x14ac:dyDescent="0.25">
      <c r="B205" s="18"/>
      <c r="C205" s="18"/>
      <c r="D205" s="18"/>
    </row>
    <row r="206" spans="1:7" x14ac:dyDescent="0.25">
      <c r="B206" s="18"/>
      <c r="C206" s="18"/>
      <c r="D206" s="18"/>
    </row>
    <row r="207" spans="1:7" x14ac:dyDescent="0.25">
      <c r="B207" s="18"/>
      <c r="C207" s="18"/>
      <c r="D207" s="18"/>
    </row>
    <row r="208" spans="1:7" x14ac:dyDescent="0.25">
      <c r="B208" s="18"/>
      <c r="C208" s="18"/>
      <c r="D208" s="18"/>
    </row>
    <row r="209" spans="2:4" x14ac:dyDescent="0.25">
      <c r="B209" s="18"/>
      <c r="C209" s="18"/>
      <c r="D209" s="18"/>
    </row>
    <row r="210" spans="2:4" x14ac:dyDescent="0.25">
      <c r="B210" s="18"/>
      <c r="C210" s="18"/>
      <c r="D210" s="18"/>
    </row>
    <row r="211" spans="2:4" x14ac:dyDescent="0.25">
      <c r="B211" s="18"/>
      <c r="C211" s="18"/>
      <c r="D211" s="18"/>
    </row>
    <row r="212" spans="2:4" x14ac:dyDescent="0.25">
      <c r="B212" s="18"/>
      <c r="C212" s="18"/>
      <c r="D212" s="18"/>
    </row>
    <row r="213" spans="2:4" x14ac:dyDescent="0.25">
      <c r="B213" s="18"/>
      <c r="C213" s="18"/>
      <c r="D213" s="18"/>
    </row>
    <row r="214" spans="2:4" x14ac:dyDescent="0.25">
      <c r="B214" s="18"/>
      <c r="C214" s="18"/>
      <c r="D214" s="18"/>
    </row>
    <row r="215" spans="2:4" x14ac:dyDescent="0.25">
      <c r="B215" s="18"/>
      <c r="C215" s="18"/>
      <c r="D215" s="18"/>
    </row>
    <row r="216" spans="2:4" x14ac:dyDescent="0.25">
      <c r="B216" s="18"/>
      <c r="C216" s="18"/>
      <c r="D216" s="18"/>
    </row>
    <row r="217" spans="2:4" x14ac:dyDescent="0.25">
      <c r="B217" s="18"/>
      <c r="C217" s="18"/>
      <c r="D217" s="18"/>
    </row>
    <row r="218" spans="2:4" x14ac:dyDescent="0.25">
      <c r="B218" s="4"/>
      <c r="C218" s="4"/>
      <c r="D218" s="4"/>
    </row>
    <row r="219" spans="2:4" x14ac:dyDescent="0.25">
      <c r="C219" s="4"/>
      <c r="D219" s="4"/>
    </row>
    <row r="220" spans="2:4" x14ac:dyDescent="0.25">
      <c r="C220" s="4"/>
      <c r="D220" s="4"/>
    </row>
    <row r="221" spans="2:4" x14ac:dyDescent="0.25">
      <c r="C221" s="4"/>
      <c r="D221" s="4"/>
    </row>
    <row r="222" spans="2:4" x14ac:dyDescent="0.25">
      <c r="C222" s="4"/>
      <c r="D222" s="4"/>
    </row>
    <row r="223" spans="2:4" x14ac:dyDescent="0.25">
      <c r="C223" s="4"/>
      <c r="D223" s="4"/>
    </row>
    <row r="224" spans="2:4" x14ac:dyDescent="0.25">
      <c r="C224" s="4"/>
      <c r="D224" s="4"/>
    </row>
    <row r="225" spans="3:4" x14ac:dyDescent="0.25">
      <c r="C225" s="4"/>
      <c r="D225" s="4"/>
    </row>
    <row r="226" spans="3:4" x14ac:dyDescent="0.25">
      <c r="C226" s="4"/>
      <c r="D226" s="4"/>
    </row>
    <row r="227" spans="3:4" x14ac:dyDescent="0.25">
      <c r="C227" s="4"/>
      <c r="D227" s="4"/>
    </row>
    <row r="228" spans="3:4" x14ac:dyDescent="0.25">
      <c r="C228" s="4"/>
      <c r="D228" s="4"/>
    </row>
    <row r="229" spans="3:4" x14ac:dyDescent="0.25">
      <c r="C229" s="4"/>
      <c r="D229" s="4"/>
    </row>
    <row r="230" spans="3:4" x14ac:dyDescent="0.25">
      <c r="C230" s="4"/>
      <c r="D230" s="4"/>
    </row>
    <row r="231" spans="3:4" x14ac:dyDescent="0.25">
      <c r="C231" s="4"/>
      <c r="D231" s="4"/>
    </row>
    <row r="232" spans="3:4" x14ac:dyDescent="0.25">
      <c r="C232" s="4"/>
      <c r="D232" s="4"/>
    </row>
    <row r="233" spans="3:4" x14ac:dyDescent="0.25">
      <c r="C233" s="4"/>
      <c r="D233" s="4"/>
    </row>
    <row r="234" spans="3:4" x14ac:dyDescent="0.25">
      <c r="C234" s="4"/>
      <c r="D234" s="4"/>
    </row>
    <row r="235" spans="3:4" x14ac:dyDescent="0.25">
      <c r="C235" s="4"/>
      <c r="D235" s="4"/>
    </row>
    <row r="236" spans="3:4" x14ac:dyDescent="0.25">
      <c r="C236" s="4"/>
      <c r="D236" s="4"/>
    </row>
    <row r="237" spans="3:4" x14ac:dyDescent="0.25">
      <c r="C237" s="4"/>
      <c r="D237" s="4"/>
    </row>
    <row r="238" spans="3:4" x14ac:dyDescent="0.25">
      <c r="C238" s="4"/>
      <c r="D238" s="4"/>
    </row>
    <row r="239" spans="3:4" x14ac:dyDescent="0.25">
      <c r="C239" s="4"/>
      <c r="D239" s="4"/>
    </row>
    <row r="240" spans="3:4" x14ac:dyDescent="0.25">
      <c r="C240" s="4"/>
      <c r="D240" s="4"/>
    </row>
    <row r="241" spans="3:4" x14ac:dyDescent="0.25">
      <c r="C241" s="4"/>
      <c r="D241" s="4"/>
    </row>
    <row r="242" spans="3:4" x14ac:dyDescent="0.25">
      <c r="C242" s="18"/>
      <c r="D242" s="18"/>
    </row>
    <row r="243" spans="3:4" x14ac:dyDescent="0.25">
      <c r="C243" s="18"/>
      <c r="D243" s="18"/>
    </row>
    <row r="244" spans="3:4" x14ac:dyDescent="0.25">
      <c r="C244" s="18"/>
      <c r="D244" s="18"/>
    </row>
    <row r="245" spans="3:4" x14ac:dyDescent="0.25">
      <c r="C245" s="18"/>
      <c r="D245" s="18"/>
    </row>
    <row r="246" spans="3:4" x14ac:dyDescent="0.25">
      <c r="C246" s="18"/>
      <c r="D246" s="18"/>
    </row>
    <row r="247" spans="3:4" x14ac:dyDescent="0.25">
      <c r="C247" s="18"/>
      <c r="D247" s="18"/>
    </row>
    <row r="248" spans="3:4" x14ac:dyDescent="0.25">
      <c r="C248" s="18"/>
      <c r="D248" s="18"/>
    </row>
    <row r="249" spans="3:4" x14ac:dyDescent="0.25">
      <c r="C249" s="18"/>
      <c r="D249" s="18"/>
    </row>
    <row r="250" spans="3:4" x14ac:dyDescent="0.25">
      <c r="C250" s="18"/>
      <c r="D250" s="18"/>
    </row>
    <row r="251" spans="3:4" x14ac:dyDescent="0.25">
      <c r="C251" s="18"/>
      <c r="D251" s="18"/>
    </row>
    <row r="252" spans="3:4" x14ac:dyDescent="0.25">
      <c r="C252" s="18"/>
      <c r="D252" s="18"/>
    </row>
    <row r="253" spans="3:4" x14ac:dyDescent="0.25">
      <c r="C253" s="18"/>
      <c r="D253" s="18"/>
    </row>
    <row r="254" spans="3:4" x14ac:dyDescent="0.25">
      <c r="C254" s="18"/>
      <c r="D254" s="18"/>
    </row>
    <row r="255" spans="3:4" x14ac:dyDescent="0.25">
      <c r="C255" s="18"/>
      <c r="D255" s="18"/>
    </row>
    <row r="256" spans="3:4" x14ac:dyDescent="0.25">
      <c r="C256" s="18"/>
      <c r="D256" s="18"/>
    </row>
    <row r="257" spans="3:4" x14ac:dyDescent="0.25">
      <c r="C257" s="18"/>
      <c r="D257" s="18"/>
    </row>
    <row r="258" spans="3:4" x14ac:dyDescent="0.25">
      <c r="C258" s="18"/>
      <c r="D258" s="18"/>
    </row>
    <row r="259" spans="3:4" x14ac:dyDescent="0.25">
      <c r="C259" s="18"/>
      <c r="D25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IL-6 Raw and SD</vt:lpstr>
      <vt:lpstr>IL-6 Analyzed and graph</vt:lpstr>
      <vt:lpstr>IL-6 Intra and inter assay</vt:lpstr>
    </vt:vector>
  </TitlesOfParts>
  <Company>WKU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Van Thuan</dc:creator>
  <cp:lastModifiedBy>Nguyen, Van Thuan</cp:lastModifiedBy>
  <dcterms:created xsi:type="dcterms:W3CDTF">2023-01-09T14:20:54Z</dcterms:created>
  <dcterms:modified xsi:type="dcterms:W3CDTF">2023-02-08T19:45:41Z</dcterms:modified>
</cp:coreProperties>
</file>